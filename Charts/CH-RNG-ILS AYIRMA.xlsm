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FalconMFDAll\Charts\"/>
    </mc:Choice>
  </mc:AlternateContent>
  <bookViews>
    <workbookView xWindow="0" yWindow="0" windowWidth="28800" windowHeight="12435" activeTab="2"/>
  </bookViews>
  <sheets>
    <sheet name="Ayrıma Alanı" sheetId="1" r:id="rId1"/>
    <sheet name="Son Hali" sheetId="4" r:id="rId2"/>
    <sheet name="Çalışma Alanı 1" sheetId="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10" i="4"/>
  <c r="A14" i="4"/>
  <c r="A17" i="4"/>
  <c r="A19" i="4"/>
  <c r="A22" i="4"/>
  <c r="A24" i="4"/>
  <c r="A30" i="4"/>
  <c r="A32" i="4"/>
  <c r="A38" i="4"/>
  <c r="A39" i="4"/>
  <c r="A45" i="4"/>
  <c r="A47" i="4"/>
  <c r="A64" i="4"/>
  <c r="A70" i="4"/>
  <c r="A73" i="4"/>
  <c r="A77" i="4"/>
  <c r="A81" i="4"/>
  <c r="A8" i="4"/>
  <c r="A11" i="4"/>
  <c r="A12" i="4"/>
  <c r="A13" i="4"/>
  <c r="A15" i="4"/>
  <c r="A16" i="4"/>
  <c r="A23" i="4"/>
  <c r="A28" i="4"/>
  <c r="A29" i="4"/>
  <c r="A35" i="4"/>
  <c r="A36" i="4"/>
  <c r="A40" i="4"/>
  <c r="A41" i="4"/>
  <c r="A42" i="4"/>
  <c r="A44" i="4"/>
  <c r="A48" i="4"/>
  <c r="A63" i="4"/>
  <c r="A71" i="4"/>
  <c r="A74" i="4"/>
  <c r="A75" i="4"/>
  <c r="A78" i="4"/>
  <c r="A80" i="4"/>
  <c r="A82" i="4"/>
  <c r="A83" i="4"/>
  <c r="A33" i="4"/>
  <c r="A67" i="4"/>
  <c r="A37" i="4"/>
  <c r="A4" i="4"/>
  <c r="A6" i="4"/>
  <c r="A26" i="4"/>
  <c r="A34" i="4"/>
  <c r="A51" i="4"/>
  <c r="A52" i="4"/>
  <c r="A53" i="4"/>
  <c r="A54" i="4"/>
  <c r="A55" i="4"/>
  <c r="A56" i="4"/>
  <c r="A57" i="4"/>
  <c r="A58" i="4"/>
  <c r="A59" i="4"/>
  <c r="A60" i="4"/>
  <c r="A61" i="4"/>
  <c r="A68" i="4"/>
  <c r="A72" i="4"/>
  <c r="A5" i="4"/>
  <c r="A9" i="4"/>
  <c r="A18" i="4"/>
  <c r="A20" i="4"/>
  <c r="A21" i="4"/>
  <c r="A27" i="4"/>
  <c r="A31" i="4"/>
  <c r="A43" i="4"/>
  <c r="A46" i="4"/>
  <c r="A49" i="4"/>
  <c r="A50" i="4"/>
  <c r="A62" i="4"/>
  <c r="A66" i="4"/>
  <c r="A65" i="4"/>
  <c r="A69" i="4"/>
  <c r="A76" i="4"/>
  <c r="A79" i="4"/>
  <c r="A7" i="4"/>
  <c r="A25" i="4"/>
  <c r="A3" i="4"/>
  <c r="A1" i="4" l="1"/>
</calcChain>
</file>

<file path=xl/sharedStrings.xml><?xml version="1.0" encoding="utf-8"?>
<sst xmlns="http://schemas.openxmlformats.org/spreadsheetml/2006/main" count="1717" uniqueCount="474">
  <si>
    <t>Tcn Ch</t>
  </si>
  <si>
    <t>Airport</t>
  </si>
  <si>
    <t>Twr (UHF/VHF)</t>
  </si>
  <si>
    <t>ILS (RWY)</t>
  </si>
  <si>
    <t>Elev</t>
  </si>
  <si>
    <t>GPS Coord</t>
  </si>
  <si>
    <t>Ülke</t>
  </si>
  <si>
    <t>Runway</t>
  </si>
  <si>
    <t>AFYON</t>
  </si>
  <si>
    <t>AKHISAR</t>
  </si>
  <si>
    <t>ANTALYA</t>
  </si>
  <si>
    <t>BALIKESIR</t>
  </si>
  <si>
    <t>BANDIRMA</t>
  </si>
  <si>
    <t>CIGLI</t>
  </si>
  <si>
    <t>DALAMAN</t>
  </si>
  <si>
    <t>ESKISEHIR</t>
  </si>
  <si>
    <t>ETIMESGUT</t>
  </si>
  <si>
    <t>100 X</t>
  </si>
  <si>
    <t>113 X</t>
  </si>
  <si>
    <t>KAKLIC</t>
  </si>
  <si>
    <t>115 X</t>
  </si>
  <si>
    <t>KONYA</t>
  </si>
  <si>
    <t>YENISEHIR</t>
  </si>
  <si>
    <t>KALAMATA</t>
  </si>
  <si>
    <t>KASTELI</t>
  </si>
  <si>
    <t>LIMNOS</t>
  </si>
  <si>
    <t>NEA ANCHIALOS</t>
  </si>
  <si>
    <t>SANTORINI</t>
  </si>
  <si>
    <t>SKIROS</t>
  </si>
  <si>
    <t>SOUDA</t>
  </si>
  <si>
    <t>TANAGRA</t>
  </si>
  <si>
    <t>AKROTIRI (RAF)</t>
  </si>
  <si>
    <t>PAPHOS INT.</t>
  </si>
  <si>
    <t/>
  </si>
  <si>
    <t>TURKEY</t>
  </si>
  <si>
    <t>GREECE</t>
  </si>
  <si>
    <t>CYPRUS</t>
  </si>
  <si>
    <t>12/30</t>
  </si>
  <si>
    <t>08/26</t>
  </si>
  <si>
    <t>14/32</t>
  </si>
  <si>
    <t>01/19</t>
  </si>
  <si>
    <t>05/23
LR</t>
  </si>
  <si>
    <t>02/20</t>
  </si>
  <si>
    <t>16/34</t>
  </si>
  <si>
    <t>03/21</t>
  </si>
  <si>
    <t>11/29</t>
  </si>
  <si>
    <t>257.8
123.5</t>
  </si>
  <si>
    <t>257.8
123.8</t>
  </si>
  <si>
    <t>257.8
122.1</t>
  </si>
  <si>
    <t>257.8
122.7</t>
  </si>
  <si>
    <t>257.8
123.2</t>
  </si>
  <si>
    <t>257.8
118.4</t>
  </si>
  <si>
    <t>257.8
121.05</t>
  </si>
  <si>
    <t>257.8
118.2</t>
  </si>
  <si>
    <t>257.8
123.85</t>
  </si>
  <si>
    <t>257.8
118.1</t>
  </si>
  <si>
    <t>257.8
126.05</t>
  </si>
  <si>
    <t>257.8
118.5</t>
  </si>
  <si>
    <t>Tcn Rng</t>
  </si>
  <si>
    <t>110.3  (34L)
108.5  (16L)</t>
  </si>
  <si>
    <t>No ILS</t>
  </si>
  <si>
    <t>AKINCI
(Ankara)</t>
  </si>
  <si>
    <t>108.1  (34R)
108.7  (16R)
110.3  (34L)</t>
  </si>
  <si>
    <t>ATATURK
(Istanbul)</t>
  </si>
  <si>
    <t>110.3  (16R)
111.1  (16L)
111.3  (34R)
111.5  (34L)</t>
  </si>
  <si>
    <t>BURSA</t>
  </si>
  <si>
    <t>No tacan</t>
  </si>
  <si>
    <t>CANAKKALE AB</t>
  </si>
  <si>
    <t>CARDAK</t>
  </si>
  <si>
    <t>110.7  (26)</t>
  </si>
  <si>
    <t>CORLU</t>
  </si>
  <si>
    <t>110.5  (05L)</t>
  </si>
  <si>
    <t>110.1  (01)</t>
  </si>
  <si>
    <t>ESENBOGA</t>
  </si>
  <si>
    <t>108.9  (02L)
108.1  (20L)
110.3  (02R)
108.3  (20R)</t>
  </si>
  <si>
    <t>110.5  (11)</t>
  </si>
  <si>
    <t>GAZIEMIR</t>
  </si>
  <si>
    <t>16/34
L/R</t>
  </si>
  <si>
    <t>34/16
L/R</t>
  </si>
  <si>
    <t>34/16
LR</t>
  </si>
  <si>
    <t>05/23
L/R</t>
  </si>
  <si>
    <t>02/20
LR</t>
  </si>
  <si>
    <t>Strip NS</t>
  </si>
  <si>
    <t>GUVERCINLIK</t>
  </si>
  <si>
    <t>Strip EW</t>
  </si>
  <si>
    <r>
      <t xml:space="preserve">HEZARFEN
</t>
    </r>
    <r>
      <rPr>
        <sz val="8"/>
        <color indexed="8"/>
        <rFont val="Arial"/>
        <family val="1"/>
        <charset val="204"/>
      </rPr>
      <t>(istanbul)</t>
    </r>
  </si>
  <si>
    <t>KOSEKOY</t>
  </si>
  <si>
    <t>KUTAHYA</t>
  </si>
  <si>
    <t>SABIHA GOKCEN</t>
  </si>
  <si>
    <t>109.9  (05R)
110.9  (23L)</t>
  </si>
  <si>
    <t>SAMANDIRA</t>
  </si>
  <si>
    <t>SULEYMAN DEMIREL</t>
  </si>
  <si>
    <t>SIVRIHISAR</t>
  </si>
  <si>
    <t>TEMELLI</t>
  </si>
  <si>
    <t>TOPEL</t>
  </si>
  <si>
    <t>YALOVA</t>
  </si>
  <si>
    <t>109.7  (26)</t>
  </si>
  <si>
    <t>ALEXANDRIA</t>
  </si>
  <si>
    <t>ALEXANDROU-
POLIS (Dimokritos)</t>
  </si>
  <si>
    <t>AMIGDHALEON</t>
  </si>
  <si>
    <t>CHIOS</t>
  </si>
  <si>
    <r>
      <t xml:space="preserve">CHRISOUPOLIS
</t>
    </r>
    <r>
      <rPr>
        <sz val="8"/>
        <color indexed="8"/>
        <rFont val="Arial"/>
        <family val="1"/>
        <charset val="204"/>
      </rPr>
      <t>(mega Alexandros Intl)</t>
    </r>
  </si>
  <si>
    <t>ELEFSIS</t>
  </si>
  <si>
    <t>HELLINIKON</t>
  </si>
  <si>
    <r>
      <t xml:space="preserve">IRAKLION (Nikos
</t>
    </r>
    <r>
      <rPr>
        <sz val="8"/>
        <color indexed="8"/>
        <rFont val="Arial"/>
        <family val="1"/>
        <charset val="204"/>
      </rPr>
      <t>Kazantzakis)</t>
    </r>
  </si>
  <si>
    <t>110.8  (30)</t>
  </si>
  <si>
    <t>110.6  (34)</t>
  </si>
  <si>
    <t>KARPATHOS</t>
  </si>
  <si>
    <t>KOMOTINI</t>
  </si>
  <si>
    <t>KOS</t>
  </si>
  <si>
    <t>110.9   (14)
110.9   (32)</t>
  </si>
  <si>
    <t>KOZANI (Filippos)</t>
  </si>
  <si>
    <t>LAMIA</t>
  </si>
  <si>
    <t>LARISA</t>
  </si>
  <si>
    <t>LEROS</t>
  </si>
  <si>
    <t>MARATHON</t>
  </si>
  <si>
    <t>MARITSA</t>
  </si>
  <si>
    <t>MEGARA</t>
  </si>
  <si>
    <t>MIKONOS</t>
  </si>
  <si>
    <t>MITILINI</t>
  </si>
  <si>
    <t>OLIMBOI</t>
  </si>
  <si>
    <r>
      <t xml:space="preserve">PARADISI
</t>
    </r>
    <r>
      <rPr>
        <sz val="8"/>
        <color indexed="8"/>
        <rFont val="Arial"/>
        <family val="1"/>
        <charset val="204"/>
      </rPr>
      <t>(Dioagoras - Rodos)</t>
    </r>
  </si>
  <si>
    <t>110.3  (26)</t>
  </si>
  <si>
    <t>POLIKHNITOS</t>
  </si>
  <si>
    <t>SAMOS</t>
  </si>
  <si>
    <t>SKIATHOS</t>
  </si>
  <si>
    <t>110.6   (11)
110.6   (29)</t>
  </si>
  <si>
    <t>SPARTI</t>
  </si>
  <si>
    <t>STEFANOVIKION</t>
  </si>
  <si>
    <t>TATOI</t>
  </si>
  <si>
    <t>THESSALONIKI</t>
  </si>
  <si>
    <t>109.5  (01)</t>
  </si>
  <si>
    <t>01/19
15/33</t>
  </si>
  <si>
    <t>TRIPOLIS</t>
  </si>
  <si>
    <t>TYMPAKI</t>
  </si>
  <si>
    <t>VENIZELOS INTL</t>
  </si>
  <si>
    <t>111.1  (02R)
111.1  (20L)
110.5  (02L)
110.5  (20R)</t>
  </si>
  <si>
    <t>109.7  (29)</t>
  </si>
  <si>
    <t>108.9  (29)</t>
  </si>
  <si>
    <t>SKOPJE</t>
  </si>
  <si>
    <t>BEZMER</t>
  </si>
  <si>
    <t>BURGAS</t>
  </si>
  <si>
    <t>110.3   (03)</t>
  </si>
  <si>
    <t>CHERNOVO</t>
  </si>
  <si>
    <t>DOLNI RAKOVETS</t>
  </si>
  <si>
    <t>LVAKHOVO</t>
  </si>
  <si>
    <t>PLODIV/KRUZOVO</t>
  </si>
  <si>
    <t>111.1  (30)</t>
  </si>
  <si>
    <t>UZUNDZHOVO</t>
  </si>
  <si>
    <t>50</t>
  </si>
  <si>
    <t>108.7 (34)</t>
  </si>
  <si>
    <t>ADNAN MENDERES</t>
  </si>
  <si>
    <t>098 X</t>
  </si>
  <si>
    <t>N38°18.077
27°04.379</t>
  </si>
  <si>
    <t>N38°44.176
30°32.784</t>
  </si>
  <si>
    <t>N38°48.791
27°47.548</t>
  </si>
  <si>
    <t>362.3
122.1</t>
  </si>
  <si>
    <t>N40°05.022
32°37.966</t>
  </si>
  <si>
    <t>257.8
126.1</t>
  </si>
  <si>
    <t>N36°54.555
30°35.233</t>
  </si>
  <si>
    <t>072 X</t>
  </si>
  <si>
    <t>N40°59.192
28°57.441</t>
  </si>
  <si>
    <t>N39°37.882
27°56.436</t>
  </si>
  <si>
    <t>N40°19.373
28°03.870</t>
  </si>
  <si>
    <t>253.7
  122</t>
  </si>
  <si>
    <t>N40°14.523
29°04.818</t>
  </si>
  <si>
    <t>257.8
123.6</t>
  </si>
  <si>
    <t>N40°08.794
26°31.313</t>
  </si>
  <si>
    <t>257.8
118.6</t>
  </si>
  <si>
    <t>N37°46.893
29°34.677</t>
  </si>
  <si>
    <t>N38°31.530
26°56.445</t>
  </si>
  <si>
    <t>N41°08.663
28°04.997</t>
  </si>
  <si>
    <t>N36°43.296
28°35.202</t>
  </si>
  <si>
    <t>090 X</t>
  </si>
  <si>
    <t>N40°07.840
33°03.816</t>
  </si>
  <si>
    <t>N39°47.790
30°36.908</t>
  </si>
  <si>
    <t>N39°57.544
32°44.260</t>
  </si>
  <si>
    <t>314.8
120.3</t>
  </si>
  <si>
    <t>N38°20.024
27°04.416</t>
  </si>
  <si>
    <t>347.9
129,0</t>
  </si>
  <si>
    <t>N39°56.633
32°47.801</t>
  </si>
  <si>
    <t>N41°07.605
28°43.967</t>
  </si>
  <si>
    <t>314.8
122.1</t>
  </si>
  <si>
    <t>N38°31.530
26°54.3787</t>
  </si>
  <si>
    <t>N37°59.273
32°26.637</t>
  </si>
  <si>
    <t>N40°46.207
30°08.207</t>
  </si>
  <si>
    <t>N39°25.414
30°02.636</t>
  </si>
  <si>
    <t>025 X</t>
  </si>
  <si>
    <t>N40°54.732
29°27.704</t>
  </si>
  <si>
    <t>N40°59.523
29°21.635</t>
  </si>
  <si>
    <t>337.8
119.2</t>
  </si>
  <si>
    <t>N37°47.213
30°28.070</t>
  </si>
  <si>
    <t>N39°27.369
31°22.617</t>
  </si>
  <si>
    <t>N39°44.623
32°24.351</t>
  </si>
  <si>
    <t>N40°44.907
30°11.900</t>
  </si>
  <si>
    <t>N40°41.202
29°29.430</t>
  </si>
  <si>
    <t>340.3
124.2</t>
  </si>
  <si>
    <t>N40°15.398
29°39.0761</t>
  </si>
  <si>
    <t>N40°39.406
22°36.856</t>
  </si>
  <si>
    <t>N40°51.500
26°06.167</t>
  </si>
  <si>
    <t>N40°58.515
24°29.133</t>
  </si>
  <si>
    <t>N38°20.827
26°03.046</t>
  </si>
  <si>
    <t>N40°55.809
24°46.110</t>
  </si>
  <si>
    <t>N38°04.661
23°27.343</t>
  </si>
  <si>
    <t>N37°54.906
23°37.044</t>
  </si>
  <si>
    <t>N35°19.331
24°52.382</t>
  </si>
  <si>
    <t>N37°04.775
21°50.964</t>
  </si>
  <si>
    <t>N35°26.875
26°51.093</t>
  </si>
  <si>
    <t>N35°12.206
25°00.578</t>
  </si>
  <si>
    <t>366.3
119.7</t>
  </si>
  <si>
    <t>N41°07.222
25°29.123</t>
  </si>
  <si>
    <t>N36°48.490
26°53.211</t>
  </si>
  <si>
    <t>N40°17.563
21°55.455</t>
  </si>
  <si>
    <t>N38°53.049
22°24.302</t>
  </si>
  <si>
    <t>N39°39.295
22°29.985</t>
  </si>
  <si>
    <t>N37°11.122
26°38.570</t>
  </si>
  <si>
    <t>257.8
128.5</t>
  </si>
  <si>
    <t>N39°55.861
25°15.885</t>
  </si>
  <si>
    <t>355.1
119.1</t>
  </si>
  <si>
    <t>N38°09.247
23°55.155</t>
  </si>
  <si>
    <t>N36°23.372
27°53.538</t>
  </si>
  <si>
    <t>282.2
123.5</t>
  </si>
  <si>
    <t>N37°00.147
23°15.861</t>
  </si>
  <si>
    <t>N37°25.252
25°11.198</t>
  </si>
  <si>
    <t>N39°03.202
26°33.999</t>
  </si>
  <si>
    <t>N39°13.430
22°47.718</t>
  </si>
  <si>
    <t>N39°14.791
25°51.742</t>
  </si>
  <si>
    <t>381.0
118.2</t>
  </si>
  <si>
    <t>N36°21.755
27°51.399</t>
  </si>
  <si>
    <t>N39°05.287
26°09.617</t>
  </si>
  <si>
    <t>N37°41.826
26°47.228</t>
  </si>
  <si>
    <t>N36°24.362
25°13.670</t>
  </si>
  <si>
    <t>N39°11.454
23°28.252</t>
  </si>
  <si>
    <t>N38°57.468
24°28.344</t>
  </si>
  <si>
    <t>257.8
121.1</t>
  </si>
  <si>
    <t>N35°32.431
23°51.311</t>
  </si>
  <si>
    <t>N36°58.813
22°20.292</t>
  </si>
  <si>
    <t>N39°29.690
22°47.094</t>
  </si>
  <si>
    <t>N38°20.552
23°29.012</t>
  </si>
  <si>
    <t>N38°07.014
23°41.200</t>
  </si>
  <si>
    <t>N40°31.057
23°05.760</t>
  </si>
  <si>
    <t>N37°32.167
22°15.802</t>
  </si>
  <si>
    <t>N35°04.162
24°27.797</t>
  </si>
  <si>
    <t>N37°58.163
23°50.191</t>
  </si>
  <si>
    <t>N34°35.853
32°37.3351</t>
  </si>
  <si>
    <t>N34°43.935
32°07.599</t>
  </si>
  <si>
    <t>75  X</t>
  </si>
  <si>
    <t>N41°57.908
21°51.550</t>
  </si>
  <si>
    <t>N42°25.559
26°38.067</t>
  </si>
  <si>
    <t>057 X</t>
  </si>
  <si>
    <t>N42°35.600
27°51.355</t>
  </si>
  <si>
    <t>N42°25.893
24°02.743</t>
  </si>
  <si>
    <t>N42°26.266
23°15.117</t>
  </si>
  <si>
    <t>N42°09.189
24°29.703</t>
  </si>
  <si>
    <t>N42°05.083
25°06.389</t>
  </si>
  <si>
    <t>N41°58.246
25°50.188</t>
  </si>
  <si>
    <t>099 X</t>
  </si>
  <si>
    <t>039 X</t>
  </si>
  <si>
    <t>092 X</t>
  </si>
  <si>
    <t>102 X</t>
  </si>
  <si>
    <t>043 X</t>
  </si>
  <si>
    <t>047 X</t>
  </si>
  <si>
    <t>049 X</t>
  </si>
  <si>
    <t>060 X</t>
  </si>
  <si>
    <t>083 X</t>
  </si>
  <si>
    <t>106 X</t>
  </si>
  <si>
    <t>091 X</t>
  </si>
  <si>
    <t>088 X</t>
  </si>
  <si>
    <t>046 X</t>
  </si>
  <si>
    <t>122 X</t>
  </si>
  <si>
    <t>029 X</t>
  </si>
  <si>
    <t>086 X</t>
  </si>
  <si>
    <t>079 X</t>
  </si>
  <si>
    <t>085 X</t>
  </si>
  <si>
    <t>123 X</t>
  </si>
  <si>
    <t>063 X</t>
  </si>
  <si>
    <t>019 X</t>
  </si>
  <si>
    <t>020 X</t>
  </si>
  <si>
    <t>064 X</t>
  </si>
  <si>
    <t>033 X</t>
  </si>
  <si>
    <t>056 X</t>
  </si>
  <si>
    <t>027 X</t>
  </si>
  <si>
    <t>095 X</t>
  </si>
  <si>
    <t>037 X</t>
  </si>
  <si>
    <t>103 X</t>
  </si>
  <si>
    <t>121 X</t>
  </si>
  <si>
    <t>053 X</t>
  </si>
  <si>
    <t>111 X</t>
  </si>
  <si>
    <t>108 X</t>
  </si>
  <si>
    <t>061 X</t>
  </si>
  <si>
    <t>112 X</t>
  </si>
  <si>
    <t>065 X</t>
  </si>
  <si>
    <t>035 X</t>
  </si>
  <si>
    <t>066 X</t>
  </si>
  <si>
    <t>107 X</t>
  </si>
  <si>
    <t>062 X</t>
  </si>
  <si>
    <t>096 X</t>
  </si>
  <si>
    <t>362.3
120.37</t>
  </si>
  <si>
    <t>243.1
128.55</t>
  </si>
  <si>
    <t>362.3
120.15</t>
  </si>
  <si>
    <t>257.8
120.85</t>
  </si>
  <si>
    <t>257.8
120.75</t>
  </si>
  <si>
    <t>257.8
120.55</t>
  </si>
  <si>
    <t>257.8
124.95</t>
  </si>
  <si>
    <t>257.8
118.05</t>
  </si>
  <si>
    <t>257.8
120.25</t>
  </si>
  <si>
    <t>320.3
122.8</t>
  </si>
  <si>
    <t>314.9
119.9</t>
  </si>
  <si>
    <t>256.4
118.9</t>
  </si>
  <si>
    <t>366.8
122.8</t>
  </si>
  <si>
    <t>315.6
119.6</t>
  </si>
  <si>
    <t>289.9
121.5</t>
  </si>
  <si>
    <t>257.8
119.875</t>
  </si>
  <si>
    <t>278.7
118.625</t>
  </si>
  <si>
    <t>339.9
122.1</t>
  </si>
  <si>
    <t>365.2
118.5</t>
  </si>
  <si>
    <t>279.1
119.9</t>
  </si>
  <si>
    <t>YUGOSLAVIA</t>
  </si>
  <si>
    <t>BULGARIA</t>
  </si>
  <si>
    <r>
      <rPr>
        <sz val="10"/>
        <color rgb="FF000000"/>
        <rFont val="Times New Roman"/>
        <family val="1"/>
      </rPr>
      <t xml:space="preserve">    </t>
    </r>
    <r>
      <rPr>
        <b/>
        <sz val="11"/>
        <color rgb="FF000000"/>
        <rFont val="Arial"/>
        <family val="2"/>
      </rPr>
      <t>ISRAEL</t>
    </r>
  </si>
  <si>
    <r>
      <rPr>
        <sz val="11"/>
        <color rgb="FF000000"/>
        <rFont val="Arial"/>
        <family val="2"/>
      </rPr>
      <t>BEN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GURION</t>
    </r>
  </si>
  <si>
    <r>
      <rPr>
        <sz val="11"/>
        <color rgb="FF000000"/>
        <rFont val="Arial"/>
        <family val="2"/>
      </rPr>
      <t>082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X</t>
    </r>
  </si>
  <si>
    <r>
      <rPr>
        <sz val="11"/>
        <color rgb="FF000000"/>
        <rFont val="Arial"/>
        <family val="2"/>
      </rPr>
      <t>100</t>
    </r>
  </si>
  <si>
    <r>
      <rPr>
        <b/>
        <sz val="11"/>
        <color rgb="FF000000"/>
        <rFont val="Arial"/>
        <family val="2"/>
      </rPr>
      <t>14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32</t>
    </r>
    <r>
      <rPr>
        <sz val="11"/>
        <color rgb="FF000000"/>
        <rFont val="Arial"/>
        <family val="2"/>
      </rPr>
      <t xml:space="preserve"> </t>
    </r>
    <r>
      <rPr>
        <b/>
        <sz val="11"/>
        <color rgb="FF000000"/>
        <rFont val="Arial"/>
        <family val="2"/>
      </rPr>
      <t>L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</t>
    </r>
  </si>
  <si>
    <r>
      <rPr>
        <sz val="11"/>
        <color rgb="FF000000"/>
        <rFont val="Arial"/>
        <family val="2"/>
      </rPr>
      <t>150</t>
    </r>
  </si>
  <si>
    <t>EILAT</t>
  </si>
  <si>
    <t>-</t>
  </si>
  <si>
    <t>01 / 19</t>
  </si>
  <si>
    <t>HATZERIM</t>
  </si>
  <si>
    <r>
      <rPr>
        <sz val="11"/>
        <color rgb="FF000000"/>
        <rFont val="Arial"/>
        <family val="2"/>
      </rPr>
      <t>111.50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14</t>
    </r>
    <r>
      <rPr>
        <b/>
        <sz val="11"/>
        <color rgb="FF000000"/>
        <rFont val="Arial"/>
        <family val="2"/>
      </rPr>
      <t>L</t>
    </r>
    <r>
      <rPr>
        <sz val="11"/>
        <color rgb="FF000000"/>
        <rFont val="Arial"/>
        <family val="2"/>
      </rPr>
      <t>)</t>
    </r>
  </si>
  <si>
    <t>HATZOR</t>
  </si>
  <si>
    <t>117 X</t>
  </si>
  <si>
    <r>
      <rPr>
        <sz val="11"/>
        <color rgb="FF000000"/>
        <rFont val="Arial"/>
        <family val="2"/>
      </rPr>
      <t>109.30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23</t>
    </r>
    <r>
      <rPr>
        <b/>
        <sz val="11"/>
        <color rgb="FF000000"/>
        <rFont val="Arial"/>
        <family val="2"/>
      </rPr>
      <t>R</t>
    </r>
    <r>
      <rPr>
        <sz val="11"/>
        <color rgb="FF000000"/>
        <rFont val="Arial"/>
        <family val="2"/>
      </rPr>
      <t>)</t>
    </r>
  </si>
  <si>
    <r>
      <rPr>
        <b/>
        <sz val="11"/>
        <color rgb="FF000000"/>
        <rFont val="Arial"/>
        <family val="2"/>
      </rPr>
      <t>05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23</t>
    </r>
    <r>
      <rPr>
        <sz val="11"/>
        <color rgb="FF000000"/>
        <rFont val="Arial"/>
        <family val="2"/>
      </rPr>
      <t xml:space="preserve"> </t>
    </r>
    <r>
      <rPr>
        <b/>
        <sz val="11"/>
        <color rgb="FF000000"/>
        <rFont val="Arial"/>
        <family val="2"/>
      </rPr>
      <t>L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</t>
    </r>
  </si>
  <si>
    <r>
      <rPr>
        <sz val="11"/>
        <color rgb="FF000000"/>
        <rFont val="Arial"/>
        <family val="2"/>
      </rPr>
      <t>MEGIDDO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Strip</t>
    </r>
    <r>
      <rPr>
        <sz val="11"/>
        <color rgb="FF000000"/>
        <rFont val="Arial"/>
        <family val="2"/>
      </rPr>
      <t>)</t>
    </r>
  </si>
  <si>
    <t>09 / 27</t>
  </si>
  <si>
    <t>NEVATIM</t>
  </si>
  <si>
    <t>052 X</t>
  </si>
  <si>
    <r>
      <rPr>
        <sz val="11"/>
        <color rgb="FF000000"/>
        <rFont val="Arial"/>
        <family val="2"/>
      </rPr>
      <t>108.50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02</t>
    </r>
    <r>
      <rPr>
        <b/>
        <sz val="11"/>
        <color rgb="FF000000"/>
        <rFont val="Arial"/>
        <family val="2"/>
      </rPr>
      <t>R</t>
    </r>
    <r>
      <rPr>
        <sz val="11"/>
        <color rgb="FF000000"/>
        <rFont val="Arial"/>
        <family val="2"/>
      </rPr>
      <t>)</t>
    </r>
  </si>
  <si>
    <r>
      <rPr>
        <b/>
        <sz val="11"/>
        <color rgb="FF000000"/>
        <rFont val="Arial"/>
        <family val="2"/>
      </rPr>
      <t>02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20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b/>
        <sz val="11"/>
        <color rgb="FF000000"/>
        <rFont val="Arial"/>
        <family val="2"/>
      </rPr>
      <t>R</t>
    </r>
  </si>
  <si>
    <t>1,550</t>
  </si>
  <si>
    <t>OVDA</t>
  </si>
  <si>
    <r>
      <rPr>
        <sz val="11"/>
        <color rgb="FF000000"/>
        <rFont val="Arial"/>
        <family val="2"/>
      </rPr>
      <t>109.70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20</t>
    </r>
    <r>
      <rPr>
        <b/>
        <sz val="11"/>
        <color rgb="FF000000"/>
        <rFont val="Arial"/>
        <family val="2"/>
      </rPr>
      <t>R</t>
    </r>
    <r>
      <rPr>
        <sz val="11"/>
        <color rgb="FF000000"/>
        <rFont val="Arial"/>
        <family val="2"/>
      </rPr>
      <t>)</t>
    </r>
  </si>
  <si>
    <r>
      <rPr>
        <b/>
        <sz val="11"/>
        <color rgb="FF000000"/>
        <rFont val="Arial"/>
        <family val="2"/>
      </rPr>
      <t>02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20</t>
    </r>
    <r>
      <rPr>
        <sz val="11"/>
        <color rgb="FF000000"/>
        <rFont val="Arial"/>
        <family val="2"/>
      </rPr>
      <t xml:space="preserve"> </t>
    </r>
    <r>
      <rPr>
        <b/>
        <sz val="11"/>
        <color rgb="FF000000"/>
        <rFont val="Arial"/>
        <family val="2"/>
      </rPr>
      <t>L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R</t>
    </r>
  </si>
  <si>
    <t>1,940</t>
  </si>
  <si>
    <t>PALMACHIM</t>
  </si>
  <si>
    <t>08 / 26</t>
  </si>
  <si>
    <r>
      <rPr>
        <sz val="11"/>
        <color rgb="FF000000"/>
        <rFont val="Arial"/>
        <family val="2"/>
      </rPr>
      <t>RAMAT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DAVID</t>
    </r>
  </si>
  <si>
    <r>
      <rPr>
        <sz val="11"/>
        <color rgb="FF000000"/>
        <rFont val="Arial"/>
        <family val="2"/>
      </rPr>
      <t>045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X</t>
    </r>
  </si>
  <si>
    <r>
      <rPr>
        <sz val="11"/>
        <color rgb="FF000000"/>
        <rFont val="Arial"/>
        <family val="2"/>
      </rPr>
      <t>40</t>
    </r>
  </si>
  <si>
    <r>
      <rPr>
        <sz val="11"/>
        <color rgb="FF000000"/>
        <rFont val="Arial"/>
        <family val="2"/>
      </rPr>
      <t>111.10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(26)</t>
    </r>
  </si>
  <si>
    <r>
      <rPr>
        <sz val="11"/>
        <color rgb="FF000000"/>
        <rFont val="Arial"/>
        <family val="2"/>
      </rPr>
      <t>180</t>
    </r>
  </si>
  <si>
    <t>RAMON</t>
  </si>
  <si>
    <r>
      <rPr>
        <sz val="11"/>
        <color rgb="FF000000"/>
        <rFont val="Arial"/>
        <family val="2"/>
      </rPr>
      <t>110.50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23</t>
    </r>
    <r>
      <rPr>
        <b/>
        <sz val="11"/>
        <color rgb="FF000000"/>
        <rFont val="Arial"/>
        <family val="2"/>
      </rPr>
      <t>L</t>
    </r>
    <r>
      <rPr>
        <sz val="11"/>
        <color rgb="FF000000"/>
        <rFont val="Arial"/>
        <family val="2"/>
      </rPr>
      <t>)</t>
    </r>
  </si>
  <si>
    <r>
      <rPr>
        <b/>
        <sz val="11"/>
        <color rgb="FF000000"/>
        <rFont val="Arial"/>
        <family val="2"/>
      </rPr>
      <t>05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23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L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b/>
        <sz val="11"/>
        <color rgb="FF000000"/>
        <rFont val="Arial"/>
        <family val="2"/>
      </rPr>
      <t>R</t>
    </r>
  </si>
  <si>
    <t>1,900</t>
  </si>
  <si>
    <r>
      <rPr>
        <sz val="11"/>
        <color rgb="FF000000"/>
        <rFont val="Arial"/>
        <family val="2"/>
      </rPr>
      <t>ROSH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PINA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Strip</t>
    </r>
    <r>
      <rPr>
        <sz val="11"/>
        <color rgb="FF000000"/>
        <rFont val="Arial"/>
        <family val="2"/>
      </rPr>
      <t>)</t>
    </r>
  </si>
  <si>
    <t>18 / 36</t>
  </si>
  <si>
    <t>SDE DOV</t>
  </si>
  <si>
    <t>109.10 (02)</t>
  </si>
  <si>
    <t>02 / 20</t>
  </si>
  <si>
    <t>TEL NOF</t>
  </si>
  <si>
    <t>059 X</t>
  </si>
  <si>
    <r>
      <rPr>
        <sz val="11"/>
        <color rgb="FF000000"/>
        <rFont val="Arial"/>
        <family val="2"/>
      </rPr>
      <t>110.90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(</t>
    </r>
    <r>
      <rPr>
        <b/>
        <sz val="11"/>
        <color rgb="FF000000"/>
        <rFont val="Arial"/>
        <family val="2"/>
      </rPr>
      <t>18</t>
    </r>
    <r>
      <rPr>
        <sz val="11"/>
        <color rgb="FF000000"/>
        <rFont val="Arial"/>
        <family val="2"/>
      </rPr>
      <t>)</t>
    </r>
  </si>
  <si>
    <r>
      <rPr>
        <sz val="11"/>
        <color rgb="FF000000"/>
        <rFont val="Arial"/>
        <family val="2"/>
      </rPr>
      <t>01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19</t>
    </r>
    <r>
      <rPr>
        <sz val="11"/>
        <color rgb="FF000000"/>
        <rFont val="Arial"/>
        <family val="2"/>
      </rPr>
      <t xml:space="preserve"> </t>
    </r>
    <r>
      <rPr>
        <b/>
        <sz val="11"/>
        <color rgb="FF000000"/>
        <rFont val="Arial"/>
        <family val="2"/>
      </rPr>
      <t>18</t>
    </r>
    <r>
      <rPr>
        <b/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/</t>
    </r>
    <r>
      <rPr>
        <sz val="11"/>
        <color rgb="FF000000"/>
        <rFont val="Arial"/>
        <family val="2"/>
      </rPr>
      <t xml:space="preserve"> </t>
    </r>
    <r>
      <rPr>
        <b/>
        <sz val="11"/>
        <color rgb="FF000000"/>
        <rFont val="Arial"/>
        <family val="2"/>
      </rPr>
      <t>36</t>
    </r>
  </si>
  <si>
    <t>YASSER ARAFAT INTL</t>
  </si>
  <si>
    <t>080 X</t>
  </si>
  <si>
    <t>108.90 (36)</t>
  </si>
  <si>
    <r>
      <rPr>
        <sz val="10"/>
        <color rgb="FF000000"/>
        <rFont val="Times New Roman"/>
        <family val="1"/>
      </rPr>
      <t xml:space="preserve">   </t>
    </r>
    <r>
      <rPr>
        <b/>
        <sz val="11"/>
        <color rgb="FF000000"/>
        <rFont val="Arial"/>
        <family val="2"/>
      </rPr>
      <t>CYPRUS</t>
    </r>
  </si>
  <si>
    <t>AKROTIRI</t>
  </si>
  <si>
    <t>109.70 (29)</t>
  </si>
  <si>
    <t>11 / 29</t>
  </si>
  <si>
    <r>
      <rPr>
        <sz val="10"/>
        <color rgb="FF000000"/>
        <rFont val="Times New Roman"/>
        <family val="1"/>
      </rPr>
      <t xml:space="preserve">   </t>
    </r>
    <r>
      <rPr>
        <b/>
        <sz val="11"/>
        <color rgb="FF000000"/>
        <rFont val="Arial"/>
        <family val="2"/>
      </rPr>
      <t>EGYPT</t>
    </r>
  </si>
  <si>
    <t>ABU RUDIES</t>
  </si>
  <si>
    <t>ABU SUWAYR</t>
  </si>
  <si>
    <t>12 / 30</t>
  </si>
  <si>
    <t>AL MANSURHA</t>
  </si>
  <si>
    <t>AL MANZILAH</t>
  </si>
  <si>
    <t>03 / 21</t>
  </si>
  <si>
    <t>AL MINYA</t>
  </si>
  <si>
    <t>AL RHAMANIYA</t>
  </si>
  <si>
    <t>AL ZAQAZIQ</t>
  </si>
  <si>
    <t>14 / 32</t>
  </si>
  <si>
    <t>ALISMAYLIA</t>
  </si>
  <si>
    <t>AS SALIHIYA</t>
  </si>
  <si>
    <t>AYSUT</t>
  </si>
  <si>
    <t>124 X</t>
  </si>
  <si>
    <t>111.30 (29)</t>
  </si>
  <si>
    <t>BALUZA</t>
  </si>
  <si>
    <t>BEN SUEF</t>
  </si>
  <si>
    <t>331.00 
132.10</t>
  </si>
  <si>
    <t>N 32°02.504'
 34°53.032'</t>
  </si>
  <si>
    <t>- 
119</t>
  </si>
  <si>
    <t>N 29°50.487'
 34°48.246'</t>
  </si>
  <si>
    <t>341 
131.15</t>
  </si>
  <si>
    <t>N 31°21.013'
 34°32.362'</t>
  </si>
  <si>
    <t>342.05 
125.75</t>
  </si>
  <si>
    <t>N 31°46.877'
 34°42.620'</t>
  </si>
  <si>
    <t>336.1 
-</t>
  </si>
  <si>
    <t>N 32°35.374'
 35°15.162'</t>
  </si>
  <si>
    <t>341.5 
121.4</t>
  </si>
  <si>
    <t>N 31°19.396'
 35°03.185'</t>
  </si>
  <si>
    <t>340 
129.9</t>
  </si>
  <si>
    <t>N 30°03.958'
 34°48.957'</t>
  </si>
  <si>
    <t>341.35 
120.9</t>
  </si>
  <si>
    <t>N 31°57.654'
 34°37.507'</t>
  </si>
  <si>
    <t>341.40 
118.60</t>
  </si>
  <si>
    <t>N 32°39.145'
 35°14.395'</t>
  </si>
  <si>
    <t>340.5 
122.7</t>
  </si>
  <si>
    <t>N 30°55.148'
 34°32.263'</t>
  </si>
  <si>
    <t>337.2 
-</t>
  </si>
  <si>
    <t>N 33°00.443'
 35°42.105'</t>
  </si>
  <si>
    <t>343.35 
124</t>
  </si>
  <si>
    <t>N 32°11.125'
 34°45.894'</t>
  </si>
  <si>
    <t>342 
132</t>
  </si>
  <si>
    <t>N 31°51.727'
 34°41.622'</t>
  </si>
  <si>
    <t>- 
120.4</t>
  </si>
  <si>
    <t>N 31°23.168'
 34°14.802'</t>
  </si>
  <si>
    <t xml:space="preserve"> 
</t>
  </si>
  <si>
    <t>339.85 
128</t>
  </si>
  <si>
    <t>N 34°26.915'
 32°53.224'</t>
  </si>
  <si>
    <t>- 
123.5</t>
  </si>
  <si>
    <t>N 29°08.995'
 32°56.281'</t>
  </si>
  <si>
    <t>- 
121.45</t>
  </si>
  <si>
    <t>N 30°44.910'
 31°44.954'</t>
  </si>
  <si>
    <t>- 
122.1</t>
  </si>
  <si>
    <t>N 31°12.930'
 31°05.904'</t>
  </si>
  <si>
    <t>- 
121.6</t>
  </si>
  <si>
    <t>N 31°10.236'
 31°39.868'</t>
  </si>
  <si>
    <t>- 
123.3</t>
  </si>
  <si>
    <t>N 28°25.349'
 30°31.500'</t>
  </si>
  <si>
    <t>- 
123.4</t>
  </si>
  <si>
    <t>N 31°10.236'
 30°15.479'</t>
  </si>
  <si>
    <t>- 
121.8</t>
  </si>
  <si>
    <t>N 30°46.527'
 31°18.650'</t>
  </si>
  <si>
    <t>352.7 
118.55</t>
  </si>
  <si>
    <t>N 30°44.910'
 31°51.224'</t>
  </si>
  <si>
    <t>- 
121.35</t>
  </si>
  <si>
    <t>N 31°03.231'
 31°49.776'</t>
  </si>
  <si>
    <t>- 
118.15</t>
  </si>
  <si>
    <t>N 27°32.542'
 30°34.068'</t>
  </si>
  <si>
    <t>- 
120.5</t>
  </si>
  <si>
    <t>N 31°10.236'
 32°18.913'</t>
  </si>
  <si>
    <t>289.4 
127.1</t>
  </si>
  <si>
    <t>N 29°35.938'
 30°36.501'</t>
  </si>
  <si>
    <t>R-167</t>
  </si>
  <si>
    <r>
      <t>045</t>
    </r>
    <r>
      <rPr>
        <sz val="11"/>
        <color rgb="FF000000"/>
        <rFont val="Arial"/>
        <family val="2"/>
      </rPr>
      <t xml:space="preserve"> </t>
    </r>
    <r>
      <rPr>
        <sz val="11"/>
        <color rgb="FF000000"/>
        <rFont val="Arial"/>
        <family val="2"/>
      </rPr>
      <t>X</t>
    </r>
  </si>
  <si>
    <t>4DME</t>
  </si>
  <si>
    <t xml:space="preserve">R-046 </t>
  </si>
  <si>
    <t>31DME</t>
  </si>
  <si>
    <t>R-305</t>
  </si>
  <si>
    <t>R-195</t>
  </si>
  <si>
    <t>R-266</t>
  </si>
  <si>
    <t>R-246</t>
  </si>
  <si>
    <t>R-357</t>
  </si>
  <si>
    <t>R-226</t>
  </si>
  <si>
    <t>R-185</t>
  </si>
  <si>
    <t>R-200</t>
  </si>
  <si>
    <t>76DME</t>
  </si>
  <si>
    <t>33DME</t>
  </si>
  <si>
    <t>43DME</t>
  </si>
  <si>
    <t>15DME</t>
  </si>
  <si>
    <t>53DME</t>
  </si>
  <si>
    <t>86DME</t>
  </si>
  <si>
    <t>32DME</t>
  </si>
  <si>
    <t>14DME</t>
  </si>
  <si>
    <t>089 X</t>
  </si>
  <si>
    <t>077 X</t>
  </si>
  <si>
    <t>R-106</t>
  </si>
  <si>
    <t>R-215</t>
  </si>
  <si>
    <t>21DME</t>
  </si>
  <si>
    <t>50DME</t>
  </si>
  <si>
    <r>
      <t xml:space="preserve">08 / 26 
</t>
    </r>
    <r>
      <rPr>
        <b/>
        <sz val="11"/>
        <color rgb="FFFF0000"/>
        <rFont val="Arial"/>
        <family val="2"/>
      </rPr>
      <t xml:space="preserve">11 </t>
    </r>
    <r>
      <rPr>
        <sz val="11"/>
        <color rgb="FF000000"/>
        <rFont val="Arial"/>
        <family val="2"/>
      </rPr>
      <t xml:space="preserve">/ </t>
    </r>
    <r>
      <rPr>
        <b/>
        <sz val="11"/>
        <color rgb="FFFF0000"/>
        <rFont val="Arial"/>
        <family val="2"/>
      </rPr>
      <t xml:space="preserve">29
</t>
    </r>
    <r>
      <rPr>
        <sz val="11"/>
        <color rgb="FF000000"/>
        <rFont val="Arial"/>
        <family val="2"/>
      </rPr>
      <t>12 / 30</t>
    </r>
  </si>
  <si>
    <r>
      <t>110.30 (</t>
    </r>
    <r>
      <rPr>
        <b/>
        <sz val="11"/>
        <color rgb="FF000000"/>
        <rFont val="Arial"/>
        <family val="2"/>
      </rPr>
      <t>14L</t>
    </r>
    <r>
      <rPr>
        <sz val="11"/>
        <color rgb="FF000000"/>
        <rFont val="Arial"/>
        <family val="2"/>
      </rPr>
      <t>) 
111.90 (</t>
    </r>
    <r>
      <rPr>
        <b/>
        <sz val="11"/>
        <color rgb="FF000000"/>
        <rFont val="Arial"/>
        <family val="2"/>
      </rPr>
      <t>32R</t>
    </r>
    <r>
      <rPr>
        <sz val="11"/>
        <color rgb="FF000000"/>
        <rFont val="Arial"/>
        <family val="2"/>
      </rPr>
      <t>)
110.90 (14R) 
108.70 (32L)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</si>
</sst>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0;###0"/>
  </numFmts>
  <fonts count="11" x14ac:knownFonts="1">
    <font>
      <sz val="11"/>
      <color theme="1"/>
      <name val="Calibri"/>
      <family val="2"/>
      <charset val="162"/>
      <scheme val="minor"/>
    </font>
    <font>
      <sz val="8"/>
      <color indexed="8"/>
      <name val="Arial"/>
      <family val="2"/>
    </font>
    <font>
      <b/>
      <sz val="8"/>
      <color indexed="8"/>
      <name val="Arial"/>
      <family val="1"/>
      <charset val="204"/>
    </font>
    <font>
      <sz val="8"/>
      <color indexed="8"/>
      <name val="Arial"/>
      <family val="1"/>
      <charset val="204"/>
    </font>
    <font>
      <sz val="10"/>
      <color theme="1"/>
      <name val="Calibri"/>
      <family val="2"/>
      <charset val="162"/>
      <scheme val="minor"/>
    </font>
    <font>
      <b/>
      <sz val="10"/>
      <color theme="1"/>
      <name val="Arial"/>
      <family val="2"/>
      <charset val="162"/>
    </font>
    <font>
      <sz val="7"/>
      <color indexed="8"/>
      <name val="Arial"/>
      <family val="1"/>
      <charset val="204"/>
    </font>
    <font>
      <sz val="10"/>
      <color rgb="FF000000"/>
      <name val="Times New Roman"/>
      <family val="1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1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ACBFE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0" fillId="0" borderId="0" xfId="0" applyNumberFormat="1"/>
    <xf numFmtId="49" fontId="2" fillId="0" borderId="1" xfId="0" applyNumberFormat="1" applyFont="1" applyBorder="1" applyAlignment="1">
      <alignment horizontal="left" vertical="top" wrapText="1"/>
    </xf>
    <xf numFmtId="49" fontId="3" fillId="0" borderId="1" xfId="0" applyNumberFormat="1" applyFont="1" applyBorder="1" applyAlignment="1">
      <alignment horizontal="left" vertical="top" wrapText="1"/>
    </xf>
    <xf numFmtId="0" fontId="0" fillId="0" borderId="0" xfId="0" applyBorder="1"/>
    <xf numFmtId="49" fontId="0" fillId="0" borderId="0" xfId="0" applyNumberFormat="1" applyBorder="1"/>
    <xf numFmtId="0" fontId="4" fillId="0" borderId="0" xfId="0" applyFont="1" applyAlignment="1">
      <alignment horizontal="left"/>
    </xf>
    <xf numFmtId="49" fontId="4" fillId="0" borderId="0" xfId="0" applyNumberFormat="1" applyFont="1" applyAlignment="1">
      <alignment horizontal="left"/>
    </xf>
    <xf numFmtId="49" fontId="5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left"/>
    </xf>
    <xf numFmtId="49" fontId="4" fillId="0" borderId="0" xfId="0" applyNumberFormat="1" applyFont="1" applyBorder="1" applyAlignment="1">
      <alignment horizontal="left"/>
    </xf>
    <xf numFmtId="0" fontId="3" fillId="0" borderId="1" xfId="0" applyFont="1" applyBorder="1" applyAlignment="1">
      <alignment horizontal="left" vertical="top" wrapText="1"/>
    </xf>
    <xf numFmtId="49" fontId="0" fillId="0" borderId="1" xfId="0" applyNumberFormat="1" applyBorder="1" applyAlignment="1">
      <alignment wrapText="1"/>
    </xf>
    <xf numFmtId="0" fontId="6" fillId="0" borderId="2" xfId="0" applyFont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3" fillId="0" borderId="2" xfId="0" applyFont="1" applyBorder="1" applyAlignment="1">
      <alignment horizontal="left" vertical="top" wrapText="1"/>
    </xf>
    <xf numFmtId="164" fontId="1" fillId="0" borderId="2" xfId="0" applyNumberFormat="1" applyFont="1" applyBorder="1" applyAlignment="1">
      <alignment horizontal="left" vertical="top" wrapText="1"/>
    </xf>
    <xf numFmtId="0" fontId="3" fillId="0" borderId="3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49" fontId="3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49" fontId="3" fillId="0" borderId="2" xfId="0" applyNumberFormat="1" applyFont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left" vertical="center" wrapText="1"/>
    </xf>
    <xf numFmtId="49" fontId="3" fillId="0" borderId="3" xfId="0" applyNumberFormat="1" applyFont="1" applyBorder="1" applyAlignment="1">
      <alignment vertical="top" wrapText="1"/>
    </xf>
    <xf numFmtId="0" fontId="0" fillId="0" borderId="0" xfId="0" applyBorder="1" applyAlignment="1">
      <alignment wrapText="1"/>
    </xf>
    <xf numFmtId="0" fontId="2" fillId="0" borderId="2" xfId="0" applyFont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right" vertical="top" wrapText="1"/>
    </xf>
    <xf numFmtId="49" fontId="1" fillId="0" borderId="4" xfId="0" applyNumberFormat="1" applyFont="1" applyBorder="1" applyAlignment="1">
      <alignment horizontal="left" vertical="top" wrapText="1"/>
    </xf>
    <xf numFmtId="0" fontId="3" fillId="0" borderId="6" xfId="0" applyFont="1" applyBorder="1" applyAlignment="1">
      <alignment vertical="top" wrapText="1"/>
    </xf>
    <xf numFmtId="164" fontId="1" fillId="0" borderId="3" xfId="0" applyNumberFormat="1" applyFont="1" applyBorder="1" applyAlignment="1">
      <alignment vertical="top" wrapText="1"/>
    </xf>
    <xf numFmtId="49" fontId="3" fillId="0" borderId="4" xfId="0" applyNumberFormat="1" applyFont="1" applyBorder="1" applyAlignment="1">
      <alignment vertical="top" wrapText="1"/>
    </xf>
    <xf numFmtId="49" fontId="3" fillId="0" borderId="3" xfId="0" applyNumberFormat="1" applyFont="1" applyBorder="1" applyAlignment="1">
      <alignment vertical="center" wrapText="1"/>
    </xf>
    <xf numFmtId="49" fontId="3" fillId="0" borderId="4" xfId="0" applyNumberFormat="1" applyFont="1" applyBorder="1" applyAlignment="1">
      <alignment vertical="center" wrapText="1"/>
    </xf>
    <xf numFmtId="0" fontId="7" fillId="2" borderId="2" xfId="0" applyFont="1" applyFill="1" applyBorder="1" applyAlignment="1">
      <alignment vertical="top"/>
    </xf>
    <xf numFmtId="0" fontId="9" fillId="0" borderId="2" xfId="0" applyFont="1" applyBorder="1" applyAlignment="1">
      <alignment horizontal="left" vertical="top" wrapText="1"/>
    </xf>
    <xf numFmtId="0" fontId="8" fillId="0" borderId="2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/>
    </xf>
    <xf numFmtId="0" fontId="9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horizontal="left" vertical="top"/>
    </xf>
    <xf numFmtId="0" fontId="9" fillId="0" borderId="2" xfId="0" applyFont="1" applyBorder="1" applyAlignment="1">
      <alignment horizontal="center" vertical="top" wrapText="1"/>
    </xf>
    <xf numFmtId="0" fontId="9" fillId="0" borderId="2" xfId="0" applyFont="1" applyBorder="1" applyAlignment="1">
      <alignment vertical="top"/>
    </xf>
    <xf numFmtId="0" fontId="0" fillId="0" borderId="0" xfId="0" applyAlignment="1">
      <alignment wrapText="1"/>
    </xf>
    <xf numFmtId="0" fontId="7" fillId="2" borderId="2" xfId="0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50"/>
  <sheetViews>
    <sheetView zoomScale="130" zoomScaleNormal="130" workbookViewId="0">
      <selection sqref="A1:H1048576"/>
    </sheetView>
  </sheetViews>
  <sheetFormatPr defaultRowHeight="15" x14ac:dyDescent="0.25"/>
  <cols>
    <col min="1" max="1" width="21.28515625" style="1" bestFit="1" customWidth="1"/>
    <col min="2" max="2" width="12" style="1" bestFit="1" customWidth="1"/>
    <col min="3" max="3" width="7.140625" style="1" bestFit="1" customWidth="1"/>
    <col min="4" max="4" width="7.28515625" style="1" bestFit="1" customWidth="1"/>
    <col min="5" max="5" width="9.5703125" style="1" bestFit="1" customWidth="1"/>
    <col min="6" max="6" width="7.140625" style="1" bestFit="1" customWidth="1"/>
    <col min="7" max="7" width="4.42578125" style="1" bestFit="1" customWidth="1"/>
    <col min="8" max="8" width="18.85546875" style="1" bestFit="1" customWidth="1"/>
    <col min="9" max="16" width="9.140625" style="5"/>
    <col min="17" max="16384" width="9.140625" style="4"/>
  </cols>
  <sheetData>
    <row r="1" spans="1:8" s="1" customFormat="1" x14ac:dyDescent="0.25">
      <c r="A1" s="27" t="s">
        <v>1</v>
      </c>
      <c r="B1" s="27" t="s">
        <v>2</v>
      </c>
      <c r="C1" s="27" t="s">
        <v>0</v>
      </c>
      <c r="D1" s="27" t="s">
        <v>58</v>
      </c>
      <c r="E1" s="27" t="s">
        <v>3</v>
      </c>
      <c r="F1" s="27" t="s">
        <v>7</v>
      </c>
      <c r="G1" s="27" t="s">
        <v>4</v>
      </c>
      <c r="H1" s="27" t="s">
        <v>5</v>
      </c>
    </row>
    <row r="2" spans="1:8" ht="22.5" customHeight="1" x14ac:dyDescent="0.25">
      <c r="A2" s="27" t="s">
        <v>151</v>
      </c>
      <c r="B2" s="22" t="s">
        <v>55</v>
      </c>
      <c r="C2" s="22" t="s">
        <v>152</v>
      </c>
      <c r="D2" s="23">
        <v>100</v>
      </c>
      <c r="E2" s="19" t="s">
        <v>59</v>
      </c>
      <c r="F2" s="19" t="s">
        <v>77</v>
      </c>
      <c r="G2" s="23">
        <v>412</v>
      </c>
      <c r="H2" s="19" t="s">
        <v>153</v>
      </c>
    </row>
    <row r="3" spans="1:8" ht="22.5" customHeight="1" x14ac:dyDescent="0.25">
      <c r="A3" s="27" t="s">
        <v>8</v>
      </c>
      <c r="B3" s="19" t="s">
        <v>48</v>
      </c>
      <c r="C3" s="19" t="s">
        <v>256</v>
      </c>
      <c r="D3" s="20">
        <v>50</v>
      </c>
      <c r="E3" s="19" t="s">
        <v>60</v>
      </c>
      <c r="F3" s="19" t="s">
        <v>39</v>
      </c>
      <c r="G3" s="20">
        <v>3310</v>
      </c>
      <c r="H3" s="19" t="s">
        <v>154</v>
      </c>
    </row>
    <row r="4" spans="1:8" ht="22.5" customHeight="1" x14ac:dyDescent="0.25">
      <c r="A4" s="27" t="s">
        <v>9</v>
      </c>
      <c r="B4" s="19" t="s">
        <v>48</v>
      </c>
      <c r="C4" s="19" t="s">
        <v>257</v>
      </c>
      <c r="D4" s="20">
        <v>50</v>
      </c>
      <c r="E4" s="19" t="s">
        <v>60</v>
      </c>
      <c r="F4" s="19" t="s">
        <v>77</v>
      </c>
      <c r="G4" s="20">
        <v>263</v>
      </c>
      <c r="H4" s="19" t="s">
        <v>155</v>
      </c>
    </row>
    <row r="5" spans="1:8" ht="22.5" customHeight="1" x14ac:dyDescent="0.25">
      <c r="A5" s="27" t="s">
        <v>61</v>
      </c>
      <c r="B5" s="19" t="s">
        <v>156</v>
      </c>
      <c r="C5" s="19" t="s">
        <v>258</v>
      </c>
      <c r="D5" s="20">
        <v>100</v>
      </c>
      <c r="E5" s="19" t="s">
        <v>60</v>
      </c>
      <c r="F5" s="19" t="s">
        <v>44</v>
      </c>
      <c r="G5" s="20">
        <v>2767</v>
      </c>
      <c r="H5" s="19" t="s">
        <v>157</v>
      </c>
    </row>
    <row r="6" spans="1:8" ht="22.5" customHeight="1" x14ac:dyDescent="0.25">
      <c r="A6" s="28" t="s">
        <v>10</v>
      </c>
      <c r="B6" s="22" t="s">
        <v>158</v>
      </c>
      <c r="C6" s="22" t="s">
        <v>259</v>
      </c>
      <c r="D6" s="23">
        <v>100</v>
      </c>
      <c r="E6" s="19" t="s">
        <v>62</v>
      </c>
      <c r="F6" s="19" t="s">
        <v>78</v>
      </c>
      <c r="G6" s="23">
        <v>177</v>
      </c>
      <c r="H6" s="19" t="s">
        <v>159</v>
      </c>
    </row>
    <row r="7" spans="1:8" ht="22.5" customHeight="1" x14ac:dyDescent="0.25">
      <c r="A7" s="27" t="s">
        <v>63</v>
      </c>
      <c r="B7" s="22" t="s">
        <v>55</v>
      </c>
      <c r="C7" s="22" t="s">
        <v>160</v>
      </c>
      <c r="D7" s="23">
        <v>100</v>
      </c>
      <c r="E7" s="19" t="s">
        <v>64</v>
      </c>
      <c r="F7" s="19" t="s">
        <v>79</v>
      </c>
      <c r="G7" s="23">
        <v>163</v>
      </c>
      <c r="H7" s="19" t="s">
        <v>161</v>
      </c>
    </row>
    <row r="8" spans="1:8" ht="22.5" customHeight="1" x14ac:dyDescent="0.25">
      <c r="A8" s="27" t="s">
        <v>11</v>
      </c>
      <c r="B8" s="19" t="s">
        <v>48</v>
      </c>
      <c r="C8" s="19" t="s">
        <v>260</v>
      </c>
      <c r="D8" s="20">
        <v>50</v>
      </c>
      <c r="E8" s="19" t="s">
        <v>60</v>
      </c>
      <c r="F8" s="19" t="s">
        <v>40</v>
      </c>
      <c r="G8" s="20">
        <v>340</v>
      </c>
      <c r="H8" s="19" t="s">
        <v>162</v>
      </c>
    </row>
    <row r="9" spans="1:8" ht="22.5" customHeight="1" x14ac:dyDescent="0.25">
      <c r="A9" s="27" t="s">
        <v>12</v>
      </c>
      <c r="B9" s="19" t="s">
        <v>48</v>
      </c>
      <c r="C9" s="19" t="s">
        <v>261</v>
      </c>
      <c r="D9" s="20">
        <v>50</v>
      </c>
      <c r="E9" s="19" t="s">
        <v>60</v>
      </c>
      <c r="F9" s="19" t="s">
        <v>40</v>
      </c>
      <c r="G9" s="20">
        <v>170</v>
      </c>
      <c r="H9" s="19" t="s">
        <v>163</v>
      </c>
    </row>
    <row r="10" spans="1:8" ht="22.5" customHeight="1" x14ac:dyDescent="0.25">
      <c r="A10" s="27" t="s">
        <v>65</v>
      </c>
      <c r="B10" s="19" t="s">
        <v>164</v>
      </c>
      <c r="C10" s="24" t="s">
        <v>66</v>
      </c>
      <c r="D10" s="36"/>
      <c r="E10" s="19" t="s">
        <v>60</v>
      </c>
      <c r="F10" s="19" t="s">
        <v>40</v>
      </c>
      <c r="G10" s="20">
        <v>318</v>
      </c>
      <c r="H10" s="19" t="s">
        <v>165</v>
      </c>
    </row>
    <row r="11" spans="1:8" ht="22.5" customHeight="1" x14ac:dyDescent="0.25">
      <c r="A11" s="27" t="s">
        <v>67</v>
      </c>
      <c r="B11" s="19" t="s">
        <v>166</v>
      </c>
      <c r="C11" s="19" t="s">
        <v>262</v>
      </c>
      <c r="D11" s="20">
        <v>50</v>
      </c>
      <c r="E11" s="19" t="s">
        <v>60</v>
      </c>
      <c r="F11" s="19" t="s">
        <v>44</v>
      </c>
      <c r="G11" s="20">
        <v>22</v>
      </c>
      <c r="H11" s="19" t="s">
        <v>167</v>
      </c>
    </row>
    <row r="12" spans="1:8" ht="22.5" customHeight="1" x14ac:dyDescent="0.25">
      <c r="A12" s="27" t="s">
        <v>68</v>
      </c>
      <c r="B12" s="19" t="s">
        <v>168</v>
      </c>
      <c r="C12" s="19" t="s">
        <v>263</v>
      </c>
      <c r="D12" s="20">
        <v>50</v>
      </c>
      <c r="E12" s="19" t="s">
        <v>69</v>
      </c>
      <c r="F12" s="19" t="s">
        <v>38</v>
      </c>
      <c r="G12" s="20">
        <v>2795</v>
      </c>
      <c r="H12" s="19" t="s">
        <v>169</v>
      </c>
    </row>
    <row r="13" spans="1:8" ht="22.5" customHeight="1" x14ac:dyDescent="0.25">
      <c r="A13" s="27" t="s">
        <v>13</v>
      </c>
      <c r="B13" s="19" t="s">
        <v>48</v>
      </c>
      <c r="C13" s="19" t="s">
        <v>264</v>
      </c>
      <c r="D13" s="20">
        <v>50</v>
      </c>
      <c r="E13" s="19" t="s">
        <v>60</v>
      </c>
      <c r="F13" s="19" t="s">
        <v>43</v>
      </c>
      <c r="G13" s="20">
        <v>16</v>
      </c>
      <c r="H13" s="19" t="s">
        <v>170</v>
      </c>
    </row>
    <row r="14" spans="1:8" ht="22.5" customHeight="1" x14ac:dyDescent="0.25">
      <c r="A14" s="27" t="s">
        <v>70</v>
      </c>
      <c r="B14" s="19" t="s">
        <v>297</v>
      </c>
      <c r="C14" s="19" t="s">
        <v>265</v>
      </c>
      <c r="D14" s="20">
        <v>50</v>
      </c>
      <c r="E14" s="19" t="s">
        <v>71</v>
      </c>
      <c r="F14" s="19" t="s">
        <v>80</v>
      </c>
      <c r="G14" s="20">
        <v>574</v>
      </c>
      <c r="H14" s="19" t="s">
        <v>171</v>
      </c>
    </row>
    <row r="15" spans="1:8" ht="22.5" customHeight="1" x14ac:dyDescent="0.25">
      <c r="A15" s="27" t="s">
        <v>14</v>
      </c>
      <c r="B15" s="19" t="s">
        <v>57</v>
      </c>
      <c r="C15" s="19" t="s">
        <v>17</v>
      </c>
      <c r="D15" s="20">
        <v>50</v>
      </c>
      <c r="E15" s="19" t="s">
        <v>72</v>
      </c>
      <c r="F15" s="19" t="s">
        <v>40</v>
      </c>
      <c r="G15" s="20">
        <v>20</v>
      </c>
      <c r="H15" s="19" t="s">
        <v>172</v>
      </c>
    </row>
    <row r="16" spans="1:8" ht="45" x14ac:dyDescent="0.25">
      <c r="A16" s="28" t="s">
        <v>73</v>
      </c>
      <c r="B16" s="22" t="s">
        <v>55</v>
      </c>
      <c r="C16" s="22" t="s">
        <v>173</v>
      </c>
      <c r="D16" s="23">
        <v>50</v>
      </c>
      <c r="E16" s="19" t="s">
        <v>74</v>
      </c>
      <c r="F16" s="29" t="s">
        <v>81</v>
      </c>
      <c r="G16" s="23">
        <v>3125</v>
      </c>
      <c r="H16" s="19" t="s">
        <v>174</v>
      </c>
    </row>
    <row r="17" spans="1:8" ht="22.5" customHeight="1" x14ac:dyDescent="0.25">
      <c r="A17" s="27" t="s">
        <v>15</v>
      </c>
      <c r="B17" s="19" t="s">
        <v>48</v>
      </c>
      <c r="C17" s="19" t="s">
        <v>266</v>
      </c>
      <c r="D17" s="20">
        <v>50</v>
      </c>
      <c r="E17" s="19" t="s">
        <v>60</v>
      </c>
      <c r="F17" s="19" t="s">
        <v>38</v>
      </c>
      <c r="G17" s="20">
        <v>2581</v>
      </c>
      <c r="H17" s="19" t="s">
        <v>175</v>
      </c>
    </row>
    <row r="18" spans="1:8" ht="22.5" x14ac:dyDescent="0.25">
      <c r="A18" s="27" t="s">
        <v>16</v>
      </c>
      <c r="B18" s="19" t="s">
        <v>48</v>
      </c>
      <c r="C18" s="19" t="s">
        <v>18</v>
      </c>
      <c r="D18" s="20">
        <v>50</v>
      </c>
      <c r="E18" s="19" t="s">
        <v>75</v>
      </c>
      <c r="F18" s="19" t="s">
        <v>45</v>
      </c>
      <c r="G18" s="20">
        <v>2653</v>
      </c>
      <c r="H18" s="19" t="s">
        <v>176</v>
      </c>
    </row>
    <row r="19" spans="1:8" ht="22.5" x14ac:dyDescent="0.25">
      <c r="A19" s="28" t="s">
        <v>76</v>
      </c>
      <c r="B19" s="22" t="s">
        <v>177</v>
      </c>
      <c r="C19" s="37" t="s">
        <v>66</v>
      </c>
      <c r="D19" s="38"/>
      <c r="E19" s="22" t="s">
        <v>60</v>
      </c>
      <c r="F19" s="19" t="s">
        <v>82</v>
      </c>
      <c r="G19" s="23">
        <v>412</v>
      </c>
      <c r="H19" s="19" t="s">
        <v>178</v>
      </c>
    </row>
    <row r="20" spans="1:8" ht="22.5" x14ac:dyDescent="0.25">
      <c r="A20" s="27" t="s">
        <v>83</v>
      </c>
      <c r="B20" s="19" t="s">
        <v>179</v>
      </c>
      <c r="C20" s="24" t="s">
        <v>66</v>
      </c>
      <c r="D20" s="36"/>
      <c r="E20" s="19" t="s">
        <v>60</v>
      </c>
      <c r="F20" s="19" t="s">
        <v>84</v>
      </c>
      <c r="G20" s="20">
        <v>2694</v>
      </c>
      <c r="H20" s="19" t="s">
        <v>180</v>
      </c>
    </row>
    <row r="21" spans="1:8" ht="22.5" x14ac:dyDescent="0.25">
      <c r="A21" s="27" t="s">
        <v>85</v>
      </c>
      <c r="B21" s="19" t="s">
        <v>177</v>
      </c>
      <c r="C21" s="24" t="s">
        <v>66</v>
      </c>
      <c r="D21" s="36"/>
      <c r="E21" s="19" t="s">
        <v>60</v>
      </c>
      <c r="F21" s="19" t="s">
        <v>82</v>
      </c>
      <c r="G21" s="20">
        <v>229</v>
      </c>
      <c r="H21" s="19" t="s">
        <v>181</v>
      </c>
    </row>
    <row r="22" spans="1:8" ht="22.5" x14ac:dyDescent="0.25">
      <c r="A22" s="27" t="s">
        <v>19</v>
      </c>
      <c r="B22" s="19" t="s">
        <v>182</v>
      </c>
      <c r="C22" s="19" t="s">
        <v>20</v>
      </c>
      <c r="D22" s="20">
        <v>50</v>
      </c>
      <c r="E22" s="19" t="s">
        <v>60</v>
      </c>
      <c r="F22" s="19" t="s">
        <v>43</v>
      </c>
      <c r="G22" s="20">
        <v>13</v>
      </c>
      <c r="H22" s="19" t="s">
        <v>183</v>
      </c>
    </row>
    <row r="23" spans="1:8" ht="22.5" x14ac:dyDescent="0.25">
      <c r="A23" s="27" t="s">
        <v>21</v>
      </c>
      <c r="B23" s="19" t="s">
        <v>48</v>
      </c>
      <c r="C23" s="19" t="s">
        <v>267</v>
      </c>
      <c r="D23" s="20">
        <v>50</v>
      </c>
      <c r="E23" s="19" t="s">
        <v>60</v>
      </c>
      <c r="F23" s="19" t="s">
        <v>40</v>
      </c>
      <c r="G23" s="20">
        <v>3381</v>
      </c>
      <c r="H23" s="19" t="s">
        <v>184</v>
      </c>
    </row>
    <row r="24" spans="1:8" ht="22.5" x14ac:dyDescent="0.25">
      <c r="A24" s="27" t="s">
        <v>86</v>
      </c>
      <c r="B24" s="19" t="s">
        <v>179</v>
      </c>
      <c r="C24" s="24" t="s">
        <v>66</v>
      </c>
      <c r="D24" s="36"/>
      <c r="E24" s="19" t="s">
        <v>60</v>
      </c>
      <c r="F24" s="19" t="s">
        <v>84</v>
      </c>
      <c r="G24" s="20">
        <v>32</v>
      </c>
      <c r="H24" s="19" t="s">
        <v>185</v>
      </c>
    </row>
    <row r="25" spans="1:8" ht="22.5" x14ac:dyDescent="0.25">
      <c r="A25" s="27" t="s">
        <v>87</v>
      </c>
      <c r="B25" s="19" t="s">
        <v>48</v>
      </c>
      <c r="C25" s="19" t="s">
        <v>268</v>
      </c>
      <c r="D25" s="20">
        <v>50</v>
      </c>
      <c r="E25" s="19" t="s">
        <v>60</v>
      </c>
      <c r="F25" s="19" t="s">
        <v>43</v>
      </c>
      <c r="G25" s="20">
        <v>3026</v>
      </c>
      <c r="H25" s="19" t="s">
        <v>186</v>
      </c>
    </row>
    <row r="26" spans="1:8" ht="22.5" x14ac:dyDescent="0.25">
      <c r="A26" s="27" t="s">
        <v>88</v>
      </c>
      <c r="B26" s="22" t="s">
        <v>298</v>
      </c>
      <c r="C26" s="22" t="s">
        <v>187</v>
      </c>
      <c r="D26" s="23">
        <v>100</v>
      </c>
      <c r="E26" s="19" t="s">
        <v>89</v>
      </c>
      <c r="F26" s="19" t="s">
        <v>80</v>
      </c>
      <c r="G26" s="23">
        <v>268</v>
      </c>
      <c r="H26" s="19" t="s">
        <v>188</v>
      </c>
    </row>
    <row r="27" spans="1:8" ht="22.5" x14ac:dyDescent="0.25">
      <c r="A27" s="27" t="s">
        <v>90</v>
      </c>
      <c r="B27" s="19" t="s">
        <v>177</v>
      </c>
      <c r="C27" s="24" t="s">
        <v>66</v>
      </c>
      <c r="D27" s="36"/>
      <c r="E27" s="19" t="s">
        <v>60</v>
      </c>
      <c r="F27" s="19" t="s">
        <v>82</v>
      </c>
      <c r="G27" s="20">
        <v>400</v>
      </c>
      <c r="H27" s="19" t="s">
        <v>189</v>
      </c>
    </row>
    <row r="28" spans="1:8" ht="22.5" x14ac:dyDescent="0.25">
      <c r="A28" s="27" t="s">
        <v>91</v>
      </c>
      <c r="B28" s="19" t="s">
        <v>190</v>
      </c>
      <c r="C28" s="19" t="s">
        <v>269</v>
      </c>
      <c r="D28" s="20">
        <v>100</v>
      </c>
      <c r="E28" s="19" t="s">
        <v>60</v>
      </c>
      <c r="F28" s="19" t="s">
        <v>80</v>
      </c>
      <c r="G28" s="20">
        <v>2835</v>
      </c>
      <c r="H28" s="19" t="s">
        <v>191</v>
      </c>
    </row>
    <row r="29" spans="1:8" ht="22.5" customHeight="1" x14ac:dyDescent="0.25">
      <c r="A29" s="27" t="s">
        <v>92</v>
      </c>
      <c r="B29" s="19" t="s">
        <v>48</v>
      </c>
      <c r="C29" s="19" t="s">
        <v>270</v>
      </c>
      <c r="D29" s="20">
        <v>50</v>
      </c>
      <c r="E29" s="19" t="s">
        <v>60</v>
      </c>
      <c r="F29" s="19" t="s">
        <v>45</v>
      </c>
      <c r="G29" s="20">
        <v>3194</v>
      </c>
      <c r="H29" s="19" t="s">
        <v>192</v>
      </c>
    </row>
    <row r="30" spans="1:8" ht="22.5" x14ac:dyDescent="0.25">
      <c r="A30" s="27" t="s">
        <v>93</v>
      </c>
      <c r="B30" s="19" t="s">
        <v>177</v>
      </c>
      <c r="C30" s="24" t="s">
        <v>66</v>
      </c>
      <c r="D30" s="36"/>
      <c r="E30" s="19" t="s">
        <v>60</v>
      </c>
      <c r="F30" s="19" t="s">
        <v>82</v>
      </c>
      <c r="G30" s="20">
        <v>2564</v>
      </c>
      <c r="H30" s="19" t="s">
        <v>193</v>
      </c>
    </row>
    <row r="31" spans="1:8" ht="22.5" customHeight="1" x14ac:dyDescent="0.25">
      <c r="A31" s="27" t="s">
        <v>94</v>
      </c>
      <c r="B31" s="19" t="s">
        <v>156</v>
      </c>
      <c r="C31" s="19" t="s">
        <v>271</v>
      </c>
      <c r="D31" s="20">
        <v>50</v>
      </c>
      <c r="E31" s="19" t="s">
        <v>60</v>
      </c>
      <c r="F31" s="19" t="s">
        <v>38</v>
      </c>
      <c r="G31" s="20">
        <v>182</v>
      </c>
      <c r="H31" s="19" t="s">
        <v>194</v>
      </c>
    </row>
    <row r="32" spans="1:8" ht="22.5" x14ac:dyDescent="0.25">
      <c r="A32" s="27" t="s">
        <v>95</v>
      </c>
      <c r="B32" s="19" t="s">
        <v>177</v>
      </c>
      <c r="C32" s="24" t="s">
        <v>66</v>
      </c>
      <c r="D32" s="36"/>
      <c r="E32" s="19" t="s">
        <v>60</v>
      </c>
      <c r="F32" s="19" t="s">
        <v>84</v>
      </c>
      <c r="G32" s="30">
        <v>6</v>
      </c>
      <c r="H32" s="19" t="s">
        <v>195</v>
      </c>
    </row>
    <row r="33" spans="1:8" ht="22.5" x14ac:dyDescent="0.25">
      <c r="A33" s="27" t="s">
        <v>22</v>
      </c>
      <c r="B33" s="19" t="s">
        <v>196</v>
      </c>
      <c r="C33" s="19" t="s">
        <v>272</v>
      </c>
      <c r="D33" s="20">
        <v>50</v>
      </c>
      <c r="E33" s="19" t="s">
        <v>96</v>
      </c>
      <c r="F33" s="19" t="s">
        <v>38</v>
      </c>
      <c r="G33" s="20">
        <v>764</v>
      </c>
      <c r="H33" s="19" t="s">
        <v>197</v>
      </c>
    </row>
    <row r="34" spans="1:8" ht="22.5" x14ac:dyDescent="0.25">
      <c r="A34" s="27" t="s">
        <v>97</v>
      </c>
      <c r="B34" s="19" t="s">
        <v>46</v>
      </c>
      <c r="C34" s="24" t="s">
        <v>66</v>
      </c>
      <c r="D34" s="36"/>
      <c r="E34" s="19" t="s">
        <v>60</v>
      </c>
      <c r="F34" s="19" t="s">
        <v>37</v>
      </c>
      <c r="G34" s="20">
        <v>26</v>
      </c>
      <c r="H34" s="19" t="s">
        <v>198</v>
      </c>
    </row>
    <row r="35" spans="1:8" ht="22.5" x14ac:dyDescent="0.25">
      <c r="A35" s="27" t="s">
        <v>98</v>
      </c>
      <c r="B35" s="19" t="s">
        <v>47</v>
      </c>
      <c r="C35" s="19" t="s">
        <v>273</v>
      </c>
      <c r="D35" s="30">
        <v>50</v>
      </c>
      <c r="E35" s="19" t="s">
        <v>60</v>
      </c>
      <c r="F35" s="19" t="s">
        <v>38</v>
      </c>
      <c r="G35" s="20">
        <v>19</v>
      </c>
      <c r="H35" s="19" t="s">
        <v>199</v>
      </c>
    </row>
    <row r="36" spans="1:8" ht="22.5" x14ac:dyDescent="0.25">
      <c r="A36" s="27" t="s">
        <v>99</v>
      </c>
      <c r="B36" s="19" t="s">
        <v>48</v>
      </c>
      <c r="C36" s="24" t="s">
        <v>66</v>
      </c>
      <c r="D36" s="36"/>
      <c r="E36" s="19" t="s">
        <v>60</v>
      </c>
      <c r="F36" s="19" t="s">
        <v>39</v>
      </c>
      <c r="G36" s="20">
        <v>203</v>
      </c>
      <c r="H36" s="19" t="s">
        <v>200</v>
      </c>
    </row>
    <row r="37" spans="1:8" ht="22.5" customHeight="1" x14ac:dyDescent="0.25">
      <c r="A37" s="27" t="s">
        <v>100</v>
      </c>
      <c r="B37" s="19" t="s">
        <v>49</v>
      </c>
      <c r="C37" s="19" t="s">
        <v>274</v>
      </c>
      <c r="D37" s="30">
        <v>50</v>
      </c>
      <c r="E37" s="19" t="s">
        <v>60</v>
      </c>
      <c r="F37" s="19" t="s">
        <v>40</v>
      </c>
      <c r="G37" s="20">
        <v>16</v>
      </c>
      <c r="H37" s="19" t="s">
        <v>201</v>
      </c>
    </row>
    <row r="38" spans="1:8" ht="22.5" x14ac:dyDescent="0.25">
      <c r="A38" s="27" t="s">
        <v>101</v>
      </c>
      <c r="B38" s="22" t="s">
        <v>51</v>
      </c>
      <c r="C38" s="22" t="s">
        <v>275</v>
      </c>
      <c r="D38" s="31">
        <v>50</v>
      </c>
      <c r="E38" s="22" t="s">
        <v>60</v>
      </c>
      <c r="F38" s="19" t="s">
        <v>41</v>
      </c>
      <c r="G38" s="23">
        <v>16</v>
      </c>
      <c r="H38" s="19" t="s">
        <v>202</v>
      </c>
    </row>
    <row r="39" spans="1:8" ht="22.5" customHeight="1" x14ac:dyDescent="0.25">
      <c r="A39" s="27" t="s">
        <v>102</v>
      </c>
      <c r="B39" s="19" t="s">
        <v>299</v>
      </c>
      <c r="C39" s="19" t="s">
        <v>276</v>
      </c>
      <c r="D39" s="30">
        <v>50</v>
      </c>
      <c r="E39" s="19" t="s">
        <v>60</v>
      </c>
      <c r="F39" s="19" t="s">
        <v>40</v>
      </c>
      <c r="G39" s="20">
        <v>144</v>
      </c>
      <c r="H39" s="19" t="s">
        <v>203</v>
      </c>
    </row>
    <row r="40" spans="1:8" ht="22.5" x14ac:dyDescent="0.25">
      <c r="A40" s="27" t="s">
        <v>103</v>
      </c>
      <c r="B40" s="19" t="s">
        <v>55</v>
      </c>
      <c r="C40" s="24" t="s">
        <v>66</v>
      </c>
      <c r="D40" s="36"/>
      <c r="E40" s="19" t="s">
        <v>60</v>
      </c>
      <c r="F40" s="19" t="s">
        <v>43</v>
      </c>
      <c r="G40" s="20">
        <v>68</v>
      </c>
      <c r="H40" s="19" t="s">
        <v>204</v>
      </c>
    </row>
    <row r="41" spans="1:8" ht="22.5" x14ac:dyDescent="0.25">
      <c r="A41" s="27" t="s">
        <v>104</v>
      </c>
      <c r="B41" s="19" t="s">
        <v>300</v>
      </c>
      <c r="C41" s="19" t="s">
        <v>277</v>
      </c>
      <c r="D41" s="20">
        <v>100</v>
      </c>
      <c r="E41" s="19" t="s">
        <v>105</v>
      </c>
      <c r="F41" s="19" t="s">
        <v>37</v>
      </c>
      <c r="G41" s="20">
        <v>114</v>
      </c>
      <c r="H41" s="19" t="s">
        <v>205</v>
      </c>
    </row>
    <row r="42" spans="1:8" ht="22.5" customHeight="1" x14ac:dyDescent="0.25">
      <c r="A42" s="27" t="s">
        <v>23</v>
      </c>
      <c r="B42" s="19" t="s">
        <v>301</v>
      </c>
      <c r="C42" s="19" t="s">
        <v>278</v>
      </c>
      <c r="D42" s="30">
        <v>50</v>
      </c>
      <c r="E42" s="19" t="s">
        <v>106</v>
      </c>
      <c r="F42" s="19" t="s">
        <v>43</v>
      </c>
      <c r="G42" s="20">
        <v>26</v>
      </c>
      <c r="H42" s="19" t="s">
        <v>206</v>
      </c>
    </row>
    <row r="43" spans="1:8" ht="22.5" customHeight="1" x14ac:dyDescent="0.25">
      <c r="A43" s="27" t="s">
        <v>107</v>
      </c>
      <c r="B43" s="19" t="s">
        <v>50</v>
      </c>
      <c r="C43" s="19" t="s">
        <v>279</v>
      </c>
      <c r="D43" s="30">
        <v>50</v>
      </c>
      <c r="E43" s="19" t="s">
        <v>60</v>
      </c>
      <c r="F43" s="19" t="s">
        <v>37</v>
      </c>
      <c r="G43" s="20">
        <v>65</v>
      </c>
      <c r="H43" s="19" t="s">
        <v>207</v>
      </c>
    </row>
    <row r="44" spans="1:8" ht="22.5" customHeight="1" x14ac:dyDescent="0.25">
      <c r="A44" s="27" t="s">
        <v>24</v>
      </c>
      <c r="B44" s="19" t="s">
        <v>156</v>
      </c>
      <c r="C44" s="19" t="s">
        <v>280</v>
      </c>
      <c r="D44" s="30">
        <v>50</v>
      </c>
      <c r="E44" s="19" t="s">
        <v>60</v>
      </c>
      <c r="F44" s="19" t="s">
        <v>42</v>
      </c>
      <c r="G44" s="20">
        <v>1181</v>
      </c>
      <c r="H44" s="19" t="s">
        <v>208</v>
      </c>
    </row>
    <row r="45" spans="1:8" ht="22.5" x14ac:dyDescent="0.25">
      <c r="A45" s="27" t="s">
        <v>108</v>
      </c>
      <c r="B45" s="19" t="s">
        <v>209</v>
      </c>
      <c r="C45" s="24" t="s">
        <v>66</v>
      </c>
      <c r="D45" s="36"/>
      <c r="E45" s="19" t="s">
        <v>60</v>
      </c>
      <c r="F45" s="19" t="s">
        <v>84</v>
      </c>
      <c r="G45" s="20">
        <v>78</v>
      </c>
      <c r="H45" s="19" t="s">
        <v>210</v>
      </c>
    </row>
    <row r="46" spans="1:8" ht="22.5" x14ac:dyDescent="0.25">
      <c r="A46" s="27" t="s">
        <v>109</v>
      </c>
      <c r="B46" s="19" t="s">
        <v>52</v>
      </c>
      <c r="C46" s="19" t="s">
        <v>281</v>
      </c>
      <c r="D46" s="30">
        <v>50</v>
      </c>
      <c r="E46" s="19" t="s">
        <v>110</v>
      </c>
      <c r="F46" s="19" t="s">
        <v>39</v>
      </c>
      <c r="G46" s="20">
        <v>410</v>
      </c>
      <c r="H46" s="19" t="s">
        <v>211</v>
      </c>
    </row>
    <row r="47" spans="1:8" ht="22.5" customHeight="1" x14ac:dyDescent="0.25">
      <c r="A47" s="27" t="s">
        <v>111</v>
      </c>
      <c r="B47" s="19" t="s">
        <v>53</v>
      </c>
      <c r="C47" s="19" t="s">
        <v>279</v>
      </c>
      <c r="D47" s="30">
        <v>50</v>
      </c>
      <c r="E47" s="19" t="s">
        <v>60</v>
      </c>
      <c r="F47" s="19" t="s">
        <v>39</v>
      </c>
      <c r="G47" s="20">
        <v>2080</v>
      </c>
      <c r="H47" s="19" t="s">
        <v>212</v>
      </c>
    </row>
    <row r="48" spans="1:8" ht="22.5" x14ac:dyDescent="0.25">
      <c r="A48" s="27" t="s">
        <v>112</v>
      </c>
      <c r="B48" s="19" t="s">
        <v>209</v>
      </c>
      <c r="C48" s="24" t="s">
        <v>66</v>
      </c>
      <c r="D48" s="36"/>
      <c r="E48" s="19" t="s">
        <v>60</v>
      </c>
      <c r="F48" s="19" t="s">
        <v>84</v>
      </c>
      <c r="G48" s="20">
        <v>98</v>
      </c>
      <c r="H48" s="19" t="s">
        <v>213</v>
      </c>
    </row>
    <row r="49" spans="1:8" ht="22.5" customHeight="1" x14ac:dyDescent="0.25">
      <c r="A49" s="27" t="s">
        <v>113</v>
      </c>
      <c r="B49" s="19" t="s">
        <v>302</v>
      </c>
      <c r="C49" s="19" t="s">
        <v>281</v>
      </c>
      <c r="D49" s="30">
        <v>50</v>
      </c>
      <c r="E49" s="19" t="s">
        <v>60</v>
      </c>
      <c r="F49" s="19" t="s">
        <v>38</v>
      </c>
      <c r="G49" s="20">
        <v>239</v>
      </c>
      <c r="H49" s="19" t="s">
        <v>214</v>
      </c>
    </row>
    <row r="50" spans="1:8" ht="22.5" x14ac:dyDescent="0.25">
      <c r="A50" s="27" t="s">
        <v>114</v>
      </c>
      <c r="B50" s="19" t="s">
        <v>303</v>
      </c>
      <c r="C50" s="24" t="s">
        <v>66</v>
      </c>
      <c r="D50" s="36"/>
      <c r="E50" s="19" t="s">
        <v>60</v>
      </c>
      <c r="F50" s="19" t="s">
        <v>39</v>
      </c>
      <c r="G50" s="20">
        <v>36</v>
      </c>
      <c r="H50" s="19" t="s">
        <v>215</v>
      </c>
    </row>
    <row r="51" spans="1:8" ht="22.5" customHeight="1" x14ac:dyDescent="0.25">
      <c r="A51" s="27" t="s">
        <v>25</v>
      </c>
      <c r="B51" s="19" t="s">
        <v>216</v>
      </c>
      <c r="C51" s="19" t="s">
        <v>282</v>
      </c>
      <c r="D51" s="30">
        <v>50</v>
      </c>
      <c r="E51" s="19" t="s">
        <v>60</v>
      </c>
      <c r="F51" s="19" t="s">
        <v>44</v>
      </c>
      <c r="G51" s="20">
        <v>16</v>
      </c>
      <c r="H51" s="19" t="s">
        <v>217</v>
      </c>
    </row>
    <row r="52" spans="1:8" ht="22.5" x14ac:dyDescent="0.25">
      <c r="A52" s="27" t="s">
        <v>115</v>
      </c>
      <c r="B52" s="19" t="s">
        <v>218</v>
      </c>
      <c r="C52" s="24" t="s">
        <v>66</v>
      </c>
      <c r="D52" s="36"/>
      <c r="E52" s="19" t="s">
        <v>60</v>
      </c>
      <c r="F52" s="19" t="s">
        <v>82</v>
      </c>
      <c r="G52" s="20">
        <v>711</v>
      </c>
      <c r="H52" s="19" t="s">
        <v>219</v>
      </c>
    </row>
    <row r="53" spans="1:8" ht="22.5" x14ac:dyDescent="0.25">
      <c r="A53" s="27" t="s">
        <v>116</v>
      </c>
      <c r="B53" s="19" t="s">
        <v>55</v>
      </c>
      <c r="C53" s="24" t="s">
        <v>66</v>
      </c>
      <c r="D53" s="36"/>
      <c r="E53" s="19" t="s">
        <v>60</v>
      </c>
      <c r="F53" s="19" t="s">
        <v>38</v>
      </c>
      <c r="G53" s="20">
        <v>203</v>
      </c>
      <c r="H53" s="19" t="s">
        <v>220</v>
      </c>
    </row>
    <row r="54" spans="1:8" ht="22.5" x14ac:dyDescent="0.25">
      <c r="A54" s="27" t="s">
        <v>117</v>
      </c>
      <c r="B54" s="19" t="s">
        <v>221</v>
      </c>
      <c r="C54" s="24" t="s">
        <v>66</v>
      </c>
      <c r="D54" s="36"/>
      <c r="E54" s="19" t="s">
        <v>60</v>
      </c>
      <c r="F54" s="19" t="s">
        <v>38</v>
      </c>
      <c r="G54" s="20">
        <v>120</v>
      </c>
      <c r="H54" s="19" t="s">
        <v>222</v>
      </c>
    </row>
    <row r="55" spans="1:8" ht="22.5" x14ac:dyDescent="0.25">
      <c r="A55" s="27" t="s">
        <v>118</v>
      </c>
      <c r="B55" s="19" t="s">
        <v>312</v>
      </c>
      <c r="C55" s="19" t="s">
        <v>283</v>
      </c>
      <c r="D55" s="30">
        <v>50</v>
      </c>
      <c r="E55" s="19" t="s">
        <v>60</v>
      </c>
      <c r="F55" s="19" t="s">
        <v>43</v>
      </c>
      <c r="G55" s="20">
        <v>450</v>
      </c>
      <c r="H55" s="19" t="s">
        <v>223</v>
      </c>
    </row>
    <row r="56" spans="1:8" ht="22.5" customHeight="1" x14ac:dyDescent="0.25">
      <c r="A56" s="27" t="s">
        <v>119</v>
      </c>
      <c r="B56" s="19" t="s">
        <v>54</v>
      </c>
      <c r="C56" s="19" t="s">
        <v>279</v>
      </c>
      <c r="D56" s="30">
        <v>50</v>
      </c>
      <c r="E56" s="19" t="s">
        <v>60</v>
      </c>
      <c r="F56" s="19" t="s">
        <v>39</v>
      </c>
      <c r="G56" s="20">
        <v>55</v>
      </c>
      <c r="H56" s="19" t="s">
        <v>224</v>
      </c>
    </row>
    <row r="57" spans="1:8" ht="22.5" customHeight="1" x14ac:dyDescent="0.25">
      <c r="A57" s="27" t="s">
        <v>26</v>
      </c>
      <c r="B57" s="19" t="s">
        <v>48</v>
      </c>
      <c r="C57" s="19" t="s">
        <v>284</v>
      </c>
      <c r="D57" s="30">
        <v>50</v>
      </c>
      <c r="E57" s="19" t="s">
        <v>60</v>
      </c>
      <c r="F57" s="19" t="s">
        <v>38</v>
      </c>
      <c r="G57" s="20">
        <v>82</v>
      </c>
      <c r="H57" s="19" t="s">
        <v>225</v>
      </c>
    </row>
    <row r="58" spans="1:8" ht="22.5" x14ac:dyDescent="0.25">
      <c r="A58" s="27" t="s">
        <v>120</v>
      </c>
      <c r="B58" s="19" t="s">
        <v>209</v>
      </c>
      <c r="C58" s="24" t="s">
        <v>66</v>
      </c>
      <c r="D58" s="36"/>
      <c r="E58" s="19" t="s">
        <v>60</v>
      </c>
      <c r="F58" s="19" t="s">
        <v>84</v>
      </c>
      <c r="G58" s="20">
        <v>656</v>
      </c>
      <c r="H58" s="19" t="s">
        <v>226</v>
      </c>
    </row>
    <row r="59" spans="1:8" ht="22.5" x14ac:dyDescent="0.25">
      <c r="A59" s="27" t="s">
        <v>121</v>
      </c>
      <c r="B59" s="19" t="s">
        <v>227</v>
      </c>
      <c r="C59" s="19" t="s">
        <v>285</v>
      </c>
      <c r="D59" s="30">
        <v>50</v>
      </c>
      <c r="E59" s="19" t="s">
        <v>122</v>
      </c>
      <c r="F59" s="19" t="s">
        <v>38</v>
      </c>
      <c r="G59" s="20">
        <v>16</v>
      </c>
      <c r="H59" s="19" t="s">
        <v>228</v>
      </c>
    </row>
    <row r="60" spans="1:8" ht="22.5" x14ac:dyDescent="0.25">
      <c r="A60" s="27" t="s">
        <v>123</v>
      </c>
      <c r="B60" s="19" t="s">
        <v>218</v>
      </c>
      <c r="C60" s="24" t="s">
        <v>66</v>
      </c>
      <c r="D60" s="36"/>
      <c r="E60" s="19" t="s">
        <v>60</v>
      </c>
      <c r="F60" s="19" t="s">
        <v>82</v>
      </c>
      <c r="G60" s="20">
        <v>649</v>
      </c>
      <c r="H60" s="19" t="s">
        <v>229</v>
      </c>
    </row>
    <row r="61" spans="1:8" ht="22.5" customHeight="1" x14ac:dyDescent="0.25">
      <c r="A61" s="27" t="s">
        <v>124</v>
      </c>
      <c r="B61" s="19" t="s">
        <v>48</v>
      </c>
      <c r="C61" s="19" t="s">
        <v>286</v>
      </c>
      <c r="D61" s="30">
        <v>50</v>
      </c>
      <c r="E61" s="19" t="s">
        <v>60</v>
      </c>
      <c r="F61" s="19" t="s">
        <v>38</v>
      </c>
      <c r="G61" s="20">
        <v>32</v>
      </c>
      <c r="H61" s="19" t="s">
        <v>230</v>
      </c>
    </row>
    <row r="62" spans="1:8" ht="22.5" customHeight="1" x14ac:dyDescent="0.25">
      <c r="A62" s="27" t="s">
        <v>27</v>
      </c>
      <c r="B62" s="19" t="s">
        <v>304</v>
      </c>
      <c r="C62" s="19" t="s">
        <v>287</v>
      </c>
      <c r="D62" s="20">
        <v>100</v>
      </c>
      <c r="E62" s="19" t="s">
        <v>60</v>
      </c>
      <c r="F62" s="19" t="s">
        <v>43</v>
      </c>
      <c r="G62" s="20">
        <v>131</v>
      </c>
      <c r="H62" s="19" t="s">
        <v>231</v>
      </c>
    </row>
    <row r="63" spans="1:8" ht="22.5" x14ac:dyDescent="0.25">
      <c r="A63" s="27" t="s">
        <v>125</v>
      </c>
      <c r="B63" s="19" t="s">
        <v>56</v>
      </c>
      <c r="C63" s="24" t="s">
        <v>66</v>
      </c>
      <c r="D63" s="36"/>
      <c r="E63" s="19" t="s">
        <v>60</v>
      </c>
      <c r="F63" s="19" t="s">
        <v>42</v>
      </c>
      <c r="G63" s="20">
        <v>49</v>
      </c>
      <c r="H63" s="19" t="s">
        <v>232</v>
      </c>
    </row>
    <row r="64" spans="1:8" ht="22.5" customHeight="1" x14ac:dyDescent="0.25">
      <c r="A64" s="27" t="s">
        <v>28</v>
      </c>
      <c r="B64" s="19" t="s">
        <v>50</v>
      </c>
      <c r="C64" s="19" t="s">
        <v>288</v>
      </c>
      <c r="D64" s="30">
        <v>50</v>
      </c>
      <c r="E64" s="19" t="s">
        <v>60</v>
      </c>
      <c r="F64" s="19" t="s">
        <v>40</v>
      </c>
      <c r="G64" s="20">
        <v>49</v>
      </c>
      <c r="H64" s="19" t="s">
        <v>233</v>
      </c>
    </row>
    <row r="65" spans="1:8" ht="22.5" x14ac:dyDescent="0.25">
      <c r="A65" s="28" t="s">
        <v>29</v>
      </c>
      <c r="B65" s="22" t="s">
        <v>234</v>
      </c>
      <c r="C65" s="22" t="s">
        <v>289</v>
      </c>
      <c r="D65" s="23">
        <v>50</v>
      </c>
      <c r="E65" s="19" t="s">
        <v>126</v>
      </c>
      <c r="F65" s="22" t="s">
        <v>45</v>
      </c>
      <c r="G65" s="23">
        <v>492</v>
      </c>
      <c r="H65" s="19" t="s">
        <v>235</v>
      </c>
    </row>
    <row r="66" spans="1:8" ht="22.5" x14ac:dyDescent="0.25">
      <c r="A66" s="27" t="s">
        <v>127</v>
      </c>
      <c r="B66" s="19" t="s">
        <v>209</v>
      </c>
      <c r="C66" s="24" t="s">
        <v>66</v>
      </c>
      <c r="D66" s="36"/>
      <c r="E66" s="19" t="s">
        <v>60</v>
      </c>
      <c r="F66" s="19" t="s">
        <v>84</v>
      </c>
      <c r="G66" s="20">
        <v>498</v>
      </c>
      <c r="H66" s="19" t="s">
        <v>236</v>
      </c>
    </row>
    <row r="67" spans="1:8" ht="22.5" x14ac:dyDescent="0.25">
      <c r="A67" s="27" t="s">
        <v>128</v>
      </c>
      <c r="B67" s="19" t="s">
        <v>209</v>
      </c>
      <c r="C67" s="24" t="s">
        <v>66</v>
      </c>
      <c r="D67" s="36"/>
      <c r="E67" s="19" t="s">
        <v>60</v>
      </c>
      <c r="F67" s="19" t="s">
        <v>84</v>
      </c>
      <c r="G67" s="20">
        <v>147</v>
      </c>
      <c r="H67" s="19" t="s">
        <v>237</v>
      </c>
    </row>
    <row r="68" spans="1:8" ht="22.5" customHeight="1" x14ac:dyDescent="0.25">
      <c r="A68" s="27" t="s">
        <v>30</v>
      </c>
      <c r="B68" s="19" t="s">
        <v>305</v>
      </c>
      <c r="C68" s="19" t="s">
        <v>290</v>
      </c>
      <c r="D68" s="30">
        <v>50</v>
      </c>
      <c r="E68" s="19" t="s">
        <v>60</v>
      </c>
      <c r="F68" s="19" t="s">
        <v>45</v>
      </c>
      <c r="G68" s="20">
        <v>485</v>
      </c>
      <c r="H68" s="19" t="s">
        <v>238</v>
      </c>
    </row>
    <row r="69" spans="1:8" ht="22.5" x14ac:dyDescent="0.25">
      <c r="A69" s="27" t="s">
        <v>129</v>
      </c>
      <c r="B69" s="19" t="s">
        <v>57</v>
      </c>
      <c r="C69" s="24" t="s">
        <v>66</v>
      </c>
      <c r="D69" s="36"/>
      <c r="E69" s="19" t="s">
        <v>60</v>
      </c>
      <c r="F69" s="19" t="s">
        <v>44</v>
      </c>
      <c r="G69" s="20">
        <v>784</v>
      </c>
      <c r="H69" s="19" t="s">
        <v>239</v>
      </c>
    </row>
    <row r="70" spans="1:8" ht="22.5" x14ac:dyDescent="0.25">
      <c r="A70" s="27" t="s">
        <v>130</v>
      </c>
      <c r="B70" s="19" t="s">
        <v>55</v>
      </c>
      <c r="C70" s="19" t="s">
        <v>291</v>
      </c>
      <c r="D70" s="20">
        <v>100</v>
      </c>
      <c r="E70" s="19" t="s">
        <v>131</v>
      </c>
      <c r="F70" s="19" t="s">
        <v>132</v>
      </c>
      <c r="G70" s="20">
        <v>22</v>
      </c>
      <c r="H70" s="19" t="s">
        <v>240</v>
      </c>
    </row>
    <row r="71" spans="1:8" ht="22.5" customHeight="1" x14ac:dyDescent="0.25">
      <c r="A71" s="27" t="s">
        <v>133</v>
      </c>
      <c r="B71" s="19" t="s">
        <v>48</v>
      </c>
      <c r="C71" s="19" t="s">
        <v>292</v>
      </c>
      <c r="D71" s="30">
        <v>50</v>
      </c>
      <c r="E71" s="19" t="s">
        <v>60</v>
      </c>
      <c r="F71" s="19" t="s">
        <v>42</v>
      </c>
      <c r="G71" s="20">
        <v>2112</v>
      </c>
      <c r="H71" s="19" t="s">
        <v>241</v>
      </c>
    </row>
    <row r="72" spans="1:8" ht="22.5" customHeight="1" x14ac:dyDescent="0.25">
      <c r="A72" s="27" t="s">
        <v>134</v>
      </c>
      <c r="B72" s="19" t="s">
        <v>48</v>
      </c>
      <c r="C72" s="19" t="s">
        <v>292</v>
      </c>
      <c r="D72" s="30">
        <v>50</v>
      </c>
      <c r="E72" s="19" t="s">
        <v>60</v>
      </c>
      <c r="F72" s="19" t="s">
        <v>38</v>
      </c>
      <c r="G72" s="30">
        <v>6</v>
      </c>
      <c r="H72" s="19" t="s">
        <v>242</v>
      </c>
    </row>
    <row r="73" spans="1:8" ht="45" x14ac:dyDescent="0.25">
      <c r="A73" s="28" t="s">
        <v>135</v>
      </c>
      <c r="B73" s="22" t="s">
        <v>313</v>
      </c>
      <c r="C73" s="22" t="s">
        <v>293</v>
      </c>
      <c r="D73" s="23">
        <v>100</v>
      </c>
      <c r="E73" s="19" t="s">
        <v>136</v>
      </c>
      <c r="F73" s="19" t="s">
        <v>81</v>
      </c>
      <c r="G73" s="23">
        <v>308</v>
      </c>
      <c r="H73" s="19" t="s">
        <v>243</v>
      </c>
    </row>
    <row r="74" spans="1:8" ht="22.5" customHeight="1" x14ac:dyDescent="0.25">
      <c r="A74" s="27" t="s">
        <v>31</v>
      </c>
      <c r="B74" s="19" t="s">
        <v>314</v>
      </c>
      <c r="C74" s="19" t="s">
        <v>294</v>
      </c>
      <c r="D74" s="20">
        <v>100</v>
      </c>
      <c r="E74" s="19" t="s">
        <v>137</v>
      </c>
      <c r="F74" s="19" t="s">
        <v>45</v>
      </c>
      <c r="G74" s="20">
        <v>75</v>
      </c>
      <c r="H74" s="19" t="s">
        <v>244</v>
      </c>
    </row>
    <row r="75" spans="1:8" ht="22.5" customHeight="1" x14ac:dyDescent="0.25">
      <c r="A75" s="27" t="s">
        <v>32</v>
      </c>
      <c r="B75" s="19" t="s">
        <v>316</v>
      </c>
      <c r="C75" s="19" t="s">
        <v>295</v>
      </c>
      <c r="D75" s="20">
        <v>50</v>
      </c>
      <c r="E75" s="19" t="s">
        <v>138</v>
      </c>
      <c r="F75" s="19" t="s">
        <v>45</v>
      </c>
      <c r="G75" s="20">
        <v>39</v>
      </c>
      <c r="H75" s="19" t="s">
        <v>245</v>
      </c>
    </row>
    <row r="76" spans="1:8" ht="22.5" customHeight="1" x14ac:dyDescent="0.25">
      <c r="A76" s="27" t="s">
        <v>139</v>
      </c>
      <c r="B76" s="21" t="s">
        <v>315</v>
      </c>
      <c r="C76" s="33" t="s">
        <v>246</v>
      </c>
      <c r="D76" s="20" t="s">
        <v>149</v>
      </c>
      <c r="E76" s="21" t="s">
        <v>150</v>
      </c>
      <c r="F76" s="19" t="s">
        <v>43</v>
      </c>
      <c r="G76" s="20">
        <v>754</v>
      </c>
      <c r="H76" s="19" t="s">
        <v>247</v>
      </c>
    </row>
    <row r="77" spans="1:8" ht="22.5" customHeight="1" x14ac:dyDescent="0.25">
      <c r="A77" s="26" t="s">
        <v>140</v>
      </c>
      <c r="B77" s="15" t="s">
        <v>306</v>
      </c>
      <c r="C77" s="17" t="s">
        <v>66</v>
      </c>
      <c r="D77" s="34"/>
      <c r="E77" s="15" t="s">
        <v>60</v>
      </c>
      <c r="F77" s="15" t="s">
        <v>37</v>
      </c>
      <c r="G77" s="16">
        <v>509</v>
      </c>
      <c r="H77" s="15" t="s">
        <v>248</v>
      </c>
    </row>
    <row r="78" spans="1:8" ht="22.5" customHeight="1" x14ac:dyDescent="0.25">
      <c r="A78" s="26" t="s">
        <v>141</v>
      </c>
      <c r="B78" s="15" t="s">
        <v>307</v>
      </c>
      <c r="C78" s="17" t="s">
        <v>249</v>
      </c>
      <c r="D78" s="16">
        <v>50</v>
      </c>
      <c r="E78" s="15" t="s">
        <v>142</v>
      </c>
      <c r="F78" s="15" t="s">
        <v>44</v>
      </c>
      <c r="G78" s="16">
        <v>135</v>
      </c>
      <c r="H78" s="15" t="s">
        <v>250</v>
      </c>
    </row>
    <row r="79" spans="1:8" ht="22.5" customHeight="1" x14ac:dyDescent="0.25">
      <c r="A79" s="26" t="s">
        <v>143</v>
      </c>
      <c r="B79" s="15" t="s">
        <v>308</v>
      </c>
      <c r="C79" s="17" t="s">
        <v>66</v>
      </c>
      <c r="D79" s="34"/>
      <c r="E79" s="15" t="s">
        <v>60</v>
      </c>
      <c r="F79" s="15" t="s">
        <v>84</v>
      </c>
      <c r="G79" s="16">
        <v>2276</v>
      </c>
      <c r="H79" s="15" t="s">
        <v>251</v>
      </c>
    </row>
    <row r="80" spans="1:8" ht="22.5" customHeight="1" x14ac:dyDescent="0.25">
      <c r="A80" s="26" t="s">
        <v>144</v>
      </c>
      <c r="B80" s="15" t="s">
        <v>309</v>
      </c>
      <c r="C80" s="17" t="s">
        <v>66</v>
      </c>
      <c r="D80" s="34"/>
      <c r="E80" s="15" t="s">
        <v>60</v>
      </c>
      <c r="F80" s="15" t="s">
        <v>45</v>
      </c>
      <c r="G80" s="16">
        <v>1997</v>
      </c>
      <c r="H80" s="15" t="s">
        <v>252</v>
      </c>
    </row>
    <row r="81" spans="1:8" ht="22.5" customHeight="1" x14ac:dyDescent="0.25">
      <c r="A81" s="26" t="s">
        <v>145</v>
      </c>
      <c r="B81" s="15" t="s">
        <v>308</v>
      </c>
      <c r="C81" s="17" t="s">
        <v>66</v>
      </c>
      <c r="D81" s="34"/>
      <c r="E81" s="15" t="s">
        <v>60</v>
      </c>
      <c r="F81" s="15" t="s">
        <v>84</v>
      </c>
      <c r="G81" s="16">
        <v>760</v>
      </c>
      <c r="H81" s="15" t="s">
        <v>253</v>
      </c>
    </row>
    <row r="82" spans="1:8" ht="22.5" customHeight="1" x14ac:dyDescent="0.25">
      <c r="A82" s="26" t="s">
        <v>146</v>
      </c>
      <c r="B82" s="15" t="s">
        <v>310</v>
      </c>
      <c r="C82" s="15" t="s">
        <v>296</v>
      </c>
      <c r="D82" s="35">
        <v>50</v>
      </c>
      <c r="E82" s="15" t="s">
        <v>147</v>
      </c>
      <c r="F82" s="15" t="s">
        <v>37</v>
      </c>
      <c r="G82" s="16">
        <v>597</v>
      </c>
      <c r="H82" s="15" t="s">
        <v>254</v>
      </c>
    </row>
    <row r="83" spans="1:8" ht="22.5" customHeight="1" x14ac:dyDescent="0.25">
      <c r="A83" s="26" t="s">
        <v>148</v>
      </c>
      <c r="B83" s="15" t="s">
        <v>311</v>
      </c>
      <c r="C83" s="17" t="s">
        <v>66</v>
      </c>
      <c r="D83" s="34"/>
      <c r="E83" s="15" t="s">
        <v>60</v>
      </c>
      <c r="F83" s="15" t="s">
        <v>45</v>
      </c>
      <c r="G83" s="16">
        <v>567</v>
      </c>
      <c r="H83" s="15" t="s">
        <v>255</v>
      </c>
    </row>
    <row r="84" spans="1:8" x14ac:dyDescent="0.25">
      <c r="B84" s="1" t="s">
        <v>33</v>
      </c>
      <c r="C84" s="1" t="s">
        <v>33</v>
      </c>
      <c r="H84" s="1" t="s">
        <v>33</v>
      </c>
    </row>
    <row r="85" spans="1:8" x14ac:dyDescent="0.25">
      <c r="B85" s="1" t="s">
        <v>33</v>
      </c>
      <c r="C85" s="1" t="s">
        <v>33</v>
      </c>
      <c r="H85" s="1" t="s">
        <v>33</v>
      </c>
    </row>
    <row r="86" spans="1:8" x14ac:dyDescent="0.25">
      <c r="B86" s="1" t="s">
        <v>33</v>
      </c>
      <c r="C86" s="1" t="s">
        <v>33</v>
      </c>
      <c r="H86" s="1" t="s">
        <v>33</v>
      </c>
    </row>
    <row r="87" spans="1:8" x14ac:dyDescent="0.25">
      <c r="B87" s="1" t="s">
        <v>33</v>
      </c>
      <c r="C87" s="1" t="s">
        <v>33</v>
      </c>
      <c r="H87" s="1" t="s">
        <v>33</v>
      </c>
    </row>
    <row r="88" spans="1:8" x14ac:dyDescent="0.25">
      <c r="B88" s="1" t="s">
        <v>33</v>
      </c>
      <c r="C88" s="1" t="s">
        <v>33</v>
      </c>
      <c r="H88" s="1" t="s">
        <v>33</v>
      </c>
    </row>
    <row r="89" spans="1:8" x14ac:dyDescent="0.25">
      <c r="B89" s="1" t="s">
        <v>33</v>
      </c>
      <c r="C89" s="1" t="s">
        <v>33</v>
      </c>
      <c r="H89" s="1" t="s">
        <v>33</v>
      </c>
    </row>
    <row r="90" spans="1:8" x14ac:dyDescent="0.25">
      <c r="B90" s="1" t="s">
        <v>33</v>
      </c>
      <c r="C90" s="1" t="s">
        <v>33</v>
      </c>
      <c r="H90" s="1" t="s">
        <v>33</v>
      </c>
    </row>
    <row r="91" spans="1:8" x14ac:dyDescent="0.25">
      <c r="B91" s="1" t="s">
        <v>33</v>
      </c>
      <c r="C91" s="1" t="s">
        <v>33</v>
      </c>
      <c r="H91" s="1" t="s">
        <v>33</v>
      </c>
    </row>
    <row r="92" spans="1:8" x14ac:dyDescent="0.25">
      <c r="B92" s="1" t="s">
        <v>33</v>
      </c>
      <c r="C92" s="1" t="s">
        <v>33</v>
      </c>
      <c r="H92" s="1" t="s">
        <v>33</v>
      </c>
    </row>
    <row r="93" spans="1:8" x14ac:dyDescent="0.25">
      <c r="B93" s="1" t="s">
        <v>33</v>
      </c>
      <c r="C93" s="1" t="s">
        <v>33</v>
      </c>
      <c r="H93" s="1" t="s">
        <v>33</v>
      </c>
    </row>
    <row r="94" spans="1:8" x14ac:dyDescent="0.25">
      <c r="B94" s="1" t="s">
        <v>33</v>
      </c>
      <c r="C94" s="1" t="s">
        <v>33</v>
      </c>
      <c r="H94" s="1" t="s">
        <v>33</v>
      </c>
    </row>
    <row r="95" spans="1:8" x14ac:dyDescent="0.25">
      <c r="B95" s="1" t="s">
        <v>33</v>
      </c>
      <c r="C95" s="1" t="s">
        <v>33</v>
      </c>
      <c r="H95" s="1" t="s">
        <v>33</v>
      </c>
    </row>
    <row r="96" spans="1:8" x14ac:dyDescent="0.25">
      <c r="B96" s="1" t="s">
        <v>33</v>
      </c>
      <c r="C96" s="1" t="s">
        <v>33</v>
      </c>
      <c r="H96" s="1" t="s">
        <v>33</v>
      </c>
    </row>
    <row r="97" spans="2:8" x14ac:dyDescent="0.25">
      <c r="B97" s="1" t="s">
        <v>33</v>
      </c>
      <c r="C97" s="1" t="s">
        <v>33</v>
      </c>
      <c r="H97" s="1" t="s">
        <v>33</v>
      </c>
    </row>
    <row r="98" spans="2:8" x14ac:dyDescent="0.25">
      <c r="B98" s="1" t="s">
        <v>33</v>
      </c>
      <c r="C98" s="1" t="s">
        <v>33</v>
      </c>
      <c r="H98" s="1" t="s">
        <v>33</v>
      </c>
    </row>
    <row r="99" spans="2:8" x14ac:dyDescent="0.25">
      <c r="B99" s="1" t="s">
        <v>33</v>
      </c>
      <c r="C99" s="1" t="s">
        <v>33</v>
      </c>
      <c r="H99" s="1" t="s">
        <v>33</v>
      </c>
    </row>
    <row r="100" spans="2:8" x14ac:dyDescent="0.25">
      <c r="B100" s="1" t="s">
        <v>33</v>
      </c>
      <c r="C100" s="1" t="s">
        <v>33</v>
      </c>
      <c r="H100" s="1" t="s">
        <v>33</v>
      </c>
    </row>
    <row r="101" spans="2:8" x14ac:dyDescent="0.25">
      <c r="B101" s="1" t="s">
        <v>33</v>
      </c>
      <c r="C101" s="1" t="s">
        <v>33</v>
      </c>
      <c r="H101" s="1" t="s">
        <v>33</v>
      </c>
    </row>
    <row r="102" spans="2:8" x14ac:dyDescent="0.25">
      <c r="B102" s="1" t="s">
        <v>33</v>
      </c>
      <c r="C102" s="1" t="s">
        <v>33</v>
      </c>
      <c r="H102" s="1" t="s">
        <v>33</v>
      </c>
    </row>
    <row r="103" spans="2:8" x14ac:dyDescent="0.25">
      <c r="B103" s="1" t="s">
        <v>33</v>
      </c>
      <c r="C103" s="1" t="s">
        <v>33</v>
      </c>
      <c r="H103" s="1" t="s">
        <v>33</v>
      </c>
    </row>
    <row r="104" spans="2:8" x14ac:dyDescent="0.25">
      <c r="B104" s="1" t="s">
        <v>33</v>
      </c>
      <c r="C104" s="1" t="s">
        <v>33</v>
      </c>
      <c r="H104" s="1" t="s">
        <v>33</v>
      </c>
    </row>
    <row r="105" spans="2:8" x14ac:dyDescent="0.25">
      <c r="B105" s="1" t="s">
        <v>33</v>
      </c>
      <c r="C105" s="1" t="s">
        <v>33</v>
      </c>
      <c r="H105" s="1" t="s">
        <v>33</v>
      </c>
    </row>
    <row r="106" spans="2:8" x14ac:dyDescent="0.25">
      <c r="B106" s="1" t="s">
        <v>33</v>
      </c>
      <c r="C106" s="1" t="s">
        <v>33</v>
      </c>
      <c r="H106" s="1" t="s">
        <v>33</v>
      </c>
    </row>
    <row r="107" spans="2:8" x14ac:dyDescent="0.25">
      <c r="B107" s="1" t="s">
        <v>33</v>
      </c>
      <c r="C107" s="1" t="s">
        <v>33</v>
      </c>
      <c r="H107" s="1" t="s">
        <v>33</v>
      </c>
    </row>
    <row r="108" spans="2:8" x14ac:dyDescent="0.25">
      <c r="B108" s="1" t="s">
        <v>33</v>
      </c>
      <c r="C108" s="1" t="s">
        <v>33</v>
      </c>
      <c r="H108" s="1" t="s">
        <v>33</v>
      </c>
    </row>
    <row r="109" spans="2:8" x14ac:dyDescent="0.25">
      <c r="B109" s="1" t="s">
        <v>33</v>
      </c>
      <c r="C109" s="1" t="s">
        <v>33</v>
      </c>
      <c r="H109" s="1" t="s">
        <v>33</v>
      </c>
    </row>
    <row r="110" spans="2:8" x14ac:dyDescent="0.25">
      <c r="B110" s="1" t="s">
        <v>33</v>
      </c>
      <c r="C110" s="1" t="s">
        <v>33</v>
      </c>
      <c r="H110" s="1" t="s">
        <v>33</v>
      </c>
    </row>
    <row r="111" spans="2:8" x14ac:dyDescent="0.25">
      <c r="B111" s="1" t="s">
        <v>33</v>
      </c>
      <c r="C111" s="1" t="s">
        <v>33</v>
      </c>
      <c r="H111" s="1" t="s">
        <v>33</v>
      </c>
    </row>
    <row r="112" spans="2:8" x14ac:dyDescent="0.25">
      <c r="B112" s="1" t="s">
        <v>33</v>
      </c>
      <c r="C112" s="1" t="s">
        <v>33</v>
      </c>
      <c r="H112" s="1" t="s">
        <v>33</v>
      </c>
    </row>
    <row r="113" spans="2:8" x14ac:dyDescent="0.25">
      <c r="B113" s="1" t="s">
        <v>33</v>
      </c>
      <c r="C113" s="1" t="s">
        <v>33</v>
      </c>
      <c r="H113" s="1" t="s">
        <v>33</v>
      </c>
    </row>
    <row r="114" spans="2:8" x14ac:dyDescent="0.25">
      <c r="B114" s="1" t="s">
        <v>33</v>
      </c>
      <c r="C114" s="1" t="s">
        <v>33</v>
      </c>
      <c r="H114" s="1" t="s">
        <v>33</v>
      </c>
    </row>
    <row r="115" spans="2:8" x14ac:dyDescent="0.25">
      <c r="B115" s="1" t="s">
        <v>33</v>
      </c>
      <c r="C115" s="1" t="s">
        <v>33</v>
      </c>
      <c r="H115" s="1" t="s">
        <v>33</v>
      </c>
    </row>
    <row r="116" spans="2:8" x14ac:dyDescent="0.25">
      <c r="B116" s="1" t="s">
        <v>33</v>
      </c>
      <c r="C116" s="1" t="s">
        <v>33</v>
      </c>
      <c r="H116" s="1" t="s">
        <v>33</v>
      </c>
    </row>
    <row r="117" spans="2:8" x14ac:dyDescent="0.25">
      <c r="B117" s="1" t="s">
        <v>33</v>
      </c>
      <c r="C117" s="1" t="s">
        <v>33</v>
      </c>
      <c r="H117" s="1" t="s">
        <v>33</v>
      </c>
    </row>
    <row r="118" spans="2:8" x14ac:dyDescent="0.25">
      <c r="B118" s="1" t="s">
        <v>33</v>
      </c>
      <c r="C118" s="1" t="s">
        <v>33</v>
      </c>
      <c r="H118" s="1" t="s">
        <v>33</v>
      </c>
    </row>
    <row r="119" spans="2:8" x14ac:dyDescent="0.25">
      <c r="B119" s="1" t="s">
        <v>33</v>
      </c>
      <c r="C119" s="1" t="s">
        <v>33</v>
      </c>
      <c r="H119" s="1" t="s">
        <v>33</v>
      </c>
    </row>
    <row r="120" spans="2:8" x14ac:dyDescent="0.25">
      <c r="B120" s="1" t="s">
        <v>33</v>
      </c>
      <c r="C120" s="1" t="s">
        <v>33</v>
      </c>
      <c r="H120" s="1" t="s">
        <v>33</v>
      </c>
    </row>
    <row r="121" spans="2:8" x14ac:dyDescent="0.25">
      <c r="B121" s="1" t="s">
        <v>33</v>
      </c>
      <c r="C121" s="1" t="s">
        <v>33</v>
      </c>
      <c r="H121" s="1" t="s">
        <v>33</v>
      </c>
    </row>
    <row r="122" spans="2:8" x14ac:dyDescent="0.25">
      <c r="B122" s="1" t="s">
        <v>33</v>
      </c>
      <c r="C122" s="1" t="s">
        <v>33</v>
      </c>
      <c r="H122" s="1" t="s">
        <v>33</v>
      </c>
    </row>
    <row r="123" spans="2:8" x14ac:dyDescent="0.25">
      <c r="B123" s="1" t="s">
        <v>33</v>
      </c>
      <c r="C123" s="1" t="s">
        <v>33</v>
      </c>
      <c r="H123" s="1" t="s">
        <v>33</v>
      </c>
    </row>
    <row r="124" spans="2:8" x14ac:dyDescent="0.25">
      <c r="B124" s="1" t="s">
        <v>33</v>
      </c>
      <c r="C124" s="1" t="s">
        <v>33</v>
      </c>
      <c r="H124" s="1" t="s">
        <v>33</v>
      </c>
    </row>
    <row r="125" spans="2:8" x14ac:dyDescent="0.25">
      <c r="B125" s="1" t="s">
        <v>33</v>
      </c>
      <c r="C125" s="1" t="s">
        <v>33</v>
      </c>
      <c r="H125" s="1" t="s">
        <v>33</v>
      </c>
    </row>
    <row r="126" spans="2:8" x14ac:dyDescent="0.25">
      <c r="B126" s="1" t="s">
        <v>33</v>
      </c>
      <c r="C126" s="1" t="s">
        <v>33</v>
      </c>
      <c r="H126" s="1" t="s">
        <v>33</v>
      </c>
    </row>
    <row r="127" spans="2:8" x14ac:dyDescent="0.25">
      <c r="B127" s="1" t="s">
        <v>33</v>
      </c>
      <c r="C127" s="1" t="s">
        <v>33</v>
      </c>
      <c r="H127" s="1" t="s">
        <v>33</v>
      </c>
    </row>
    <row r="128" spans="2:8" x14ac:dyDescent="0.25">
      <c r="B128" s="1" t="s">
        <v>33</v>
      </c>
      <c r="C128" s="1" t="s">
        <v>33</v>
      </c>
      <c r="H128" s="1" t="s">
        <v>33</v>
      </c>
    </row>
    <row r="129" spans="2:8" x14ac:dyDescent="0.25">
      <c r="B129" s="1" t="s">
        <v>33</v>
      </c>
      <c r="C129" s="1" t="s">
        <v>33</v>
      </c>
      <c r="H129" s="1" t="s">
        <v>33</v>
      </c>
    </row>
    <row r="130" spans="2:8" x14ac:dyDescent="0.25">
      <c r="B130" s="1" t="s">
        <v>33</v>
      </c>
      <c r="C130" s="1" t="s">
        <v>33</v>
      </c>
      <c r="H130" s="1" t="s">
        <v>33</v>
      </c>
    </row>
    <row r="131" spans="2:8" x14ac:dyDescent="0.25">
      <c r="B131" s="1" t="s">
        <v>33</v>
      </c>
      <c r="C131" s="1" t="s">
        <v>33</v>
      </c>
      <c r="H131" s="1" t="s">
        <v>33</v>
      </c>
    </row>
    <row r="132" spans="2:8" x14ac:dyDescent="0.25">
      <c r="B132" s="1" t="s">
        <v>33</v>
      </c>
      <c r="C132" s="1" t="s">
        <v>33</v>
      </c>
      <c r="H132" s="1" t="s">
        <v>33</v>
      </c>
    </row>
    <row r="133" spans="2:8" x14ac:dyDescent="0.25">
      <c r="B133" s="1" t="s">
        <v>33</v>
      </c>
      <c r="C133" s="1" t="s">
        <v>33</v>
      </c>
      <c r="H133" s="1" t="s">
        <v>33</v>
      </c>
    </row>
    <row r="134" spans="2:8" x14ac:dyDescent="0.25">
      <c r="B134" s="1" t="s">
        <v>33</v>
      </c>
      <c r="C134" s="1" t="s">
        <v>33</v>
      </c>
      <c r="H134" s="1" t="s">
        <v>33</v>
      </c>
    </row>
    <row r="135" spans="2:8" x14ac:dyDescent="0.25">
      <c r="B135" s="1" t="s">
        <v>33</v>
      </c>
      <c r="C135" s="1" t="s">
        <v>33</v>
      </c>
      <c r="H135" s="1" t="s">
        <v>33</v>
      </c>
    </row>
    <row r="136" spans="2:8" x14ac:dyDescent="0.25">
      <c r="B136" s="1" t="s">
        <v>33</v>
      </c>
      <c r="C136" s="1" t="s">
        <v>33</v>
      </c>
      <c r="H136" s="1" t="s">
        <v>33</v>
      </c>
    </row>
    <row r="137" spans="2:8" x14ac:dyDescent="0.25">
      <c r="B137" s="1" t="s">
        <v>33</v>
      </c>
      <c r="C137" s="1" t="s">
        <v>33</v>
      </c>
      <c r="H137" s="1" t="s">
        <v>33</v>
      </c>
    </row>
    <row r="138" spans="2:8" x14ac:dyDescent="0.25">
      <c r="B138" s="1" t="s">
        <v>33</v>
      </c>
      <c r="C138" s="1" t="s">
        <v>33</v>
      </c>
      <c r="H138" s="1" t="s">
        <v>33</v>
      </c>
    </row>
    <row r="139" spans="2:8" x14ac:dyDescent="0.25">
      <c r="B139" s="1" t="s">
        <v>33</v>
      </c>
      <c r="C139" s="1" t="s">
        <v>33</v>
      </c>
      <c r="H139" s="1" t="s">
        <v>33</v>
      </c>
    </row>
    <row r="140" spans="2:8" x14ac:dyDescent="0.25">
      <c r="B140" s="1" t="s">
        <v>33</v>
      </c>
      <c r="C140" s="1" t="s">
        <v>33</v>
      </c>
      <c r="H140" s="1" t="s">
        <v>33</v>
      </c>
    </row>
    <row r="141" spans="2:8" x14ac:dyDescent="0.25">
      <c r="B141" s="1" t="s">
        <v>33</v>
      </c>
      <c r="C141" s="1" t="s">
        <v>33</v>
      </c>
      <c r="H141" s="1" t="s">
        <v>33</v>
      </c>
    </row>
    <row r="142" spans="2:8" x14ac:dyDescent="0.25">
      <c r="B142" s="1" t="s">
        <v>33</v>
      </c>
      <c r="C142" s="1" t="s">
        <v>33</v>
      </c>
      <c r="H142" s="1" t="s">
        <v>33</v>
      </c>
    </row>
    <row r="143" spans="2:8" x14ac:dyDescent="0.25">
      <c r="B143" s="1" t="s">
        <v>33</v>
      </c>
      <c r="C143" s="1" t="s">
        <v>33</v>
      </c>
      <c r="H143" s="1" t="s">
        <v>33</v>
      </c>
    </row>
    <row r="144" spans="2:8" x14ac:dyDescent="0.25">
      <c r="B144" s="1" t="s">
        <v>33</v>
      </c>
      <c r="C144" s="1" t="s">
        <v>33</v>
      </c>
      <c r="H144" s="1" t="s">
        <v>33</v>
      </c>
    </row>
    <row r="145" spans="2:8" x14ac:dyDescent="0.25">
      <c r="B145" s="1" t="s">
        <v>33</v>
      </c>
      <c r="C145" s="1" t="s">
        <v>33</v>
      </c>
      <c r="H145" s="1" t="s">
        <v>33</v>
      </c>
    </row>
    <row r="146" spans="2:8" x14ac:dyDescent="0.25">
      <c r="B146" s="1" t="s">
        <v>33</v>
      </c>
      <c r="C146" s="1" t="s">
        <v>33</v>
      </c>
      <c r="H146" s="1" t="s">
        <v>33</v>
      </c>
    </row>
    <row r="147" spans="2:8" x14ac:dyDescent="0.25">
      <c r="B147" s="1" t="s">
        <v>33</v>
      </c>
      <c r="C147" s="1" t="s">
        <v>33</v>
      </c>
      <c r="H147" s="1" t="s">
        <v>33</v>
      </c>
    </row>
    <row r="148" spans="2:8" x14ac:dyDescent="0.25">
      <c r="B148" s="1" t="s">
        <v>33</v>
      </c>
      <c r="C148" s="1" t="s">
        <v>33</v>
      </c>
      <c r="H148" s="1" t="s">
        <v>33</v>
      </c>
    </row>
    <row r="149" spans="2:8" x14ac:dyDescent="0.25">
      <c r="B149" s="1" t="s">
        <v>33</v>
      </c>
      <c r="C149" s="1" t="s">
        <v>33</v>
      </c>
      <c r="H149" s="1" t="s">
        <v>33</v>
      </c>
    </row>
    <row r="150" spans="2:8" x14ac:dyDescent="0.25">
      <c r="B150" s="1" t="s">
        <v>33</v>
      </c>
      <c r="C150" s="1" t="s">
        <v>33</v>
      </c>
      <c r="H150" s="1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0"/>
  <sheetViews>
    <sheetView workbookViewId="0">
      <selection activeCell="K1" sqref="K1:K1048576"/>
    </sheetView>
  </sheetViews>
  <sheetFormatPr defaultColWidth="15.5703125" defaultRowHeight="15" x14ac:dyDescent="0.25"/>
  <cols>
    <col min="1" max="1" width="38.85546875" style="7" bestFit="1" customWidth="1"/>
    <col min="2" max="2" width="23.42578125" style="7" bestFit="1" customWidth="1"/>
    <col min="3" max="3" width="21.28515625" style="1" bestFit="1" customWidth="1"/>
    <col min="4" max="4" width="12" style="1" bestFit="1" customWidth="1"/>
    <col min="5" max="5" width="7.140625" style="1" bestFit="1" customWidth="1"/>
    <col min="6" max="6" width="7.28515625" style="1" bestFit="1" customWidth="1"/>
    <col min="7" max="7" width="9.5703125" style="1" bestFit="1" customWidth="1"/>
    <col min="8" max="8" width="7.140625" style="1" bestFit="1" customWidth="1"/>
    <col min="9" max="9" width="4.42578125" style="1" bestFit="1" customWidth="1"/>
    <col min="10" max="10" width="18.85546875" style="1" bestFit="1" customWidth="1"/>
    <col min="11" max="11" width="30.140625" style="4" customWidth="1"/>
    <col min="12" max="16384" width="15.5703125" style="6"/>
  </cols>
  <sheetData>
    <row r="1" spans="1:11" ht="12.75" x14ac:dyDescent="0.2">
      <c r="A1" s="7" t="str">
        <f>CONCATENATE(C1," ",B1)</f>
        <v>Airport Ülke</v>
      </c>
      <c r="B1" s="8" t="s">
        <v>6</v>
      </c>
      <c r="C1" s="27" t="s">
        <v>1</v>
      </c>
      <c r="D1" s="27" t="s">
        <v>2</v>
      </c>
      <c r="E1" s="27" t="s">
        <v>0</v>
      </c>
      <c r="F1" s="27" t="s">
        <v>58</v>
      </c>
      <c r="G1" s="27" t="s">
        <v>3</v>
      </c>
      <c r="H1" s="27" t="s">
        <v>7</v>
      </c>
      <c r="I1" s="27" t="s">
        <v>4</v>
      </c>
      <c r="J1" s="27" t="s">
        <v>5</v>
      </c>
      <c r="K1" s="2"/>
    </row>
    <row r="2" spans="1:11" ht="22.5" x14ac:dyDescent="0.2">
      <c r="A2" s="7" t="str">
        <f t="shared" ref="A2:A33" si="0">CONCATENATE(C2," (",B2,")")</f>
        <v>ADNAN MENDERES (TURKEY)</v>
      </c>
      <c r="B2" s="10" t="s">
        <v>34</v>
      </c>
      <c r="C2" s="27" t="s">
        <v>151</v>
      </c>
      <c r="D2" s="22" t="s">
        <v>55</v>
      </c>
      <c r="E2" s="22" t="s">
        <v>152</v>
      </c>
      <c r="F2" s="23">
        <v>100</v>
      </c>
      <c r="G2" s="19" t="s">
        <v>59</v>
      </c>
      <c r="H2" s="19" t="s">
        <v>77</v>
      </c>
      <c r="I2" s="23">
        <v>412</v>
      </c>
      <c r="J2" s="19" t="s">
        <v>153</v>
      </c>
      <c r="K2" s="3"/>
    </row>
    <row r="3" spans="1:11" ht="22.5" x14ac:dyDescent="0.2">
      <c r="A3" s="7" t="str">
        <f t="shared" si="0"/>
        <v>AFYON (TURKEY)</v>
      </c>
      <c r="B3" s="10" t="s">
        <v>34</v>
      </c>
      <c r="C3" s="27" t="s">
        <v>8</v>
      </c>
      <c r="D3" s="19" t="s">
        <v>48</v>
      </c>
      <c r="E3" s="19" t="s">
        <v>256</v>
      </c>
      <c r="F3" s="20">
        <v>50</v>
      </c>
      <c r="G3" s="19" t="s">
        <v>60</v>
      </c>
      <c r="H3" s="19" t="s">
        <v>39</v>
      </c>
      <c r="I3" s="20">
        <v>3310</v>
      </c>
      <c r="J3" s="19" t="s">
        <v>154</v>
      </c>
      <c r="K3" s="3"/>
    </row>
    <row r="4" spans="1:11" ht="22.5" x14ac:dyDescent="0.2">
      <c r="A4" s="7" t="str">
        <f t="shared" si="0"/>
        <v>AKHISAR (TURKEY)</v>
      </c>
      <c r="B4" s="10" t="s">
        <v>34</v>
      </c>
      <c r="C4" s="27" t="s">
        <v>9</v>
      </c>
      <c r="D4" s="19" t="s">
        <v>48</v>
      </c>
      <c r="E4" s="19" t="s">
        <v>257</v>
      </c>
      <c r="F4" s="20">
        <v>50</v>
      </c>
      <c r="G4" s="19" t="s">
        <v>60</v>
      </c>
      <c r="H4" s="19" t="s">
        <v>77</v>
      </c>
      <c r="I4" s="20">
        <v>263</v>
      </c>
      <c r="J4" s="19" t="s">
        <v>155</v>
      </c>
      <c r="K4" s="3"/>
    </row>
    <row r="5" spans="1:11" ht="22.5" x14ac:dyDescent="0.2">
      <c r="A5" s="7" t="str">
        <f t="shared" si="0"/>
        <v>AKINCI
(Ankara) (TURKEY)</v>
      </c>
      <c r="B5" s="10" t="s">
        <v>34</v>
      </c>
      <c r="C5" s="27" t="s">
        <v>61</v>
      </c>
      <c r="D5" s="19" t="s">
        <v>156</v>
      </c>
      <c r="E5" s="19" t="s">
        <v>258</v>
      </c>
      <c r="F5" s="20">
        <v>100</v>
      </c>
      <c r="G5" s="19" t="s">
        <v>60</v>
      </c>
      <c r="H5" s="19" t="s">
        <v>44</v>
      </c>
      <c r="I5" s="20">
        <v>2767</v>
      </c>
      <c r="J5" s="19" t="s">
        <v>157</v>
      </c>
      <c r="K5" s="3"/>
    </row>
    <row r="6" spans="1:11" ht="33.75" x14ac:dyDescent="0.2">
      <c r="A6" s="7" t="str">
        <f t="shared" si="0"/>
        <v>ANTALYA (TURKEY)</v>
      </c>
      <c r="B6" s="10" t="s">
        <v>34</v>
      </c>
      <c r="C6" s="28" t="s">
        <v>10</v>
      </c>
      <c r="D6" s="22" t="s">
        <v>158</v>
      </c>
      <c r="E6" s="22" t="s">
        <v>259</v>
      </c>
      <c r="F6" s="23">
        <v>100</v>
      </c>
      <c r="G6" s="19" t="s">
        <v>62</v>
      </c>
      <c r="H6" s="19" t="s">
        <v>78</v>
      </c>
      <c r="I6" s="23">
        <v>177</v>
      </c>
      <c r="J6" s="19" t="s">
        <v>159</v>
      </c>
      <c r="K6" s="3"/>
    </row>
    <row r="7" spans="1:11" ht="22.5" customHeight="1" x14ac:dyDescent="0.2">
      <c r="A7" s="7" t="str">
        <f t="shared" si="0"/>
        <v>ATATURK
(Istanbul) (TURKEY)</v>
      </c>
      <c r="B7" s="10" t="s">
        <v>34</v>
      </c>
      <c r="C7" s="27" t="s">
        <v>63</v>
      </c>
      <c r="D7" s="22" t="s">
        <v>55</v>
      </c>
      <c r="E7" s="22" t="s">
        <v>160</v>
      </c>
      <c r="F7" s="23">
        <v>100</v>
      </c>
      <c r="G7" s="19" t="s">
        <v>64</v>
      </c>
      <c r="H7" s="19" t="s">
        <v>79</v>
      </c>
      <c r="I7" s="23">
        <v>163</v>
      </c>
      <c r="J7" s="19" t="s">
        <v>161</v>
      </c>
      <c r="K7" s="3"/>
    </row>
    <row r="8" spans="1:11" ht="22.5" x14ac:dyDescent="0.2">
      <c r="A8" s="7" t="str">
        <f t="shared" si="0"/>
        <v>BALIKESIR (TURKEY)</v>
      </c>
      <c r="B8" s="10" t="s">
        <v>34</v>
      </c>
      <c r="C8" s="27" t="s">
        <v>11</v>
      </c>
      <c r="D8" s="19" t="s">
        <v>48</v>
      </c>
      <c r="E8" s="19" t="s">
        <v>260</v>
      </c>
      <c r="F8" s="20">
        <v>50</v>
      </c>
      <c r="G8" s="19" t="s">
        <v>60</v>
      </c>
      <c r="H8" s="19" t="s">
        <v>40</v>
      </c>
      <c r="I8" s="20">
        <v>340</v>
      </c>
      <c r="J8" s="19" t="s">
        <v>162</v>
      </c>
      <c r="K8" s="3"/>
    </row>
    <row r="9" spans="1:11" ht="22.5" x14ac:dyDescent="0.2">
      <c r="A9" s="7" t="str">
        <f t="shared" si="0"/>
        <v>BANDIRMA (TURKEY)</v>
      </c>
      <c r="B9" s="10" t="s">
        <v>34</v>
      </c>
      <c r="C9" s="27" t="s">
        <v>12</v>
      </c>
      <c r="D9" s="19" t="s">
        <v>48</v>
      </c>
      <c r="E9" s="19" t="s">
        <v>261</v>
      </c>
      <c r="F9" s="20">
        <v>50</v>
      </c>
      <c r="G9" s="19" t="s">
        <v>60</v>
      </c>
      <c r="H9" s="19" t="s">
        <v>40</v>
      </c>
      <c r="I9" s="20">
        <v>170</v>
      </c>
      <c r="J9" s="19" t="s">
        <v>163</v>
      </c>
      <c r="K9" s="3"/>
    </row>
    <row r="10" spans="1:11" ht="22.5" x14ac:dyDescent="0.2">
      <c r="A10" s="7" t="str">
        <f t="shared" si="0"/>
        <v>BURSA (TURKEY)</v>
      </c>
      <c r="B10" s="10" t="s">
        <v>34</v>
      </c>
      <c r="C10" s="27" t="s">
        <v>65</v>
      </c>
      <c r="D10" s="19" t="s">
        <v>164</v>
      </c>
      <c r="E10" s="24" t="s">
        <v>66</v>
      </c>
      <c r="F10" s="36"/>
      <c r="G10" s="19" t="s">
        <v>60</v>
      </c>
      <c r="H10" s="19" t="s">
        <v>40</v>
      </c>
      <c r="I10" s="20">
        <v>318</v>
      </c>
      <c r="J10" s="19" t="s">
        <v>165</v>
      </c>
      <c r="K10" s="3"/>
    </row>
    <row r="11" spans="1:11" ht="22.5" x14ac:dyDescent="0.2">
      <c r="A11" s="7" t="str">
        <f t="shared" si="0"/>
        <v>CANAKKALE AB (TURKEY)</v>
      </c>
      <c r="B11" s="10" t="s">
        <v>34</v>
      </c>
      <c r="C11" s="27" t="s">
        <v>67</v>
      </c>
      <c r="D11" s="19" t="s">
        <v>166</v>
      </c>
      <c r="E11" s="19" t="s">
        <v>262</v>
      </c>
      <c r="F11" s="20">
        <v>50</v>
      </c>
      <c r="G11" s="19" t="s">
        <v>60</v>
      </c>
      <c r="H11" s="19" t="s">
        <v>44</v>
      </c>
      <c r="I11" s="20">
        <v>22</v>
      </c>
      <c r="J11" s="19" t="s">
        <v>167</v>
      </c>
      <c r="K11" s="3"/>
    </row>
    <row r="12" spans="1:11" ht="22.5" x14ac:dyDescent="0.2">
      <c r="A12" s="7" t="str">
        <f t="shared" si="0"/>
        <v>CARDAK (TURKEY)</v>
      </c>
      <c r="B12" s="10" t="s">
        <v>34</v>
      </c>
      <c r="C12" s="27" t="s">
        <v>68</v>
      </c>
      <c r="D12" s="19" t="s">
        <v>168</v>
      </c>
      <c r="E12" s="19" t="s">
        <v>263</v>
      </c>
      <c r="F12" s="20">
        <v>50</v>
      </c>
      <c r="G12" s="19" t="s">
        <v>69</v>
      </c>
      <c r="H12" s="19" t="s">
        <v>38</v>
      </c>
      <c r="I12" s="20">
        <v>2795</v>
      </c>
      <c r="J12" s="19" t="s">
        <v>169</v>
      </c>
      <c r="K12" s="3"/>
    </row>
    <row r="13" spans="1:11" ht="22.5" x14ac:dyDescent="0.2">
      <c r="A13" s="7" t="str">
        <f t="shared" si="0"/>
        <v>CIGLI (TURKEY)</v>
      </c>
      <c r="B13" s="10" t="s">
        <v>34</v>
      </c>
      <c r="C13" s="27" t="s">
        <v>13</v>
      </c>
      <c r="D13" s="19" t="s">
        <v>48</v>
      </c>
      <c r="E13" s="19" t="s">
        <v>264</v>
      </c>
      <c r="F13" s="20">
        <v>50</v>
      </c>
      <c r="G13" s="19" t="s">
        <v>60</v>
      </c>
      <c r="H13" s="19" t="s">
        <v>43</v>
      </c>
      <c r="I13" s="20">
        <v>16</v>
      </c>
      <c r="J13" s="19" t="s">
        <v>170</v>
      </c>
      <c r="K13" s="3"/>
    </row>
    <row r="14" spans="1:11" ht="22.5" x14ac:dyDescent="0.2">
      <c r="A14" s="7" t="str">
        <f t="shared" si="0"/>
        <v>CORLU (TURKEY)</v>
      </c>
      <c r="B14" s="10" t="s">
        <v>34</v>
      </c>
      <c r="C14" s="27" t="s">
        <v>70</v>
      </c>
      <c r="D14" s="19" t="s">
        <v>297</v>
      </c>
      <c r="E14" s="19" t="s">
        <v>265</v>
      </c>
      <c r="F14" s="20">
        <v>50</v>
      </c>
      <c r="G14" s="19" t="s">
        <v>71</v>
      </c>
      <c r="H14" s="19" t="s">
        <v>80</v>
      </c>
      <c r="I14" s="20">
        <v>574</v>
      </c>
      <c r="J14" s="19" t="s">
        <v>171</v>
      </c>
      <c r="K14" s="3"/>
    </row>
    <row r="15" spans="1:11" ht="22.5" x14ac:dyDescent="0.2">
      <c r="A15" s="7" t="str">
        <f t="shared" si="0"/>
        <v>DALAMAN (TURKEY)</v>
      </c>
      <c r="B15" s="10" t="s">
        <v>34</v>
      </c>
      <c r="C15" s="27" t="s">
        <v>14</v>
      </c>
      <c r="D15" s="19" t="s">
        <v>57</v>
      </c>
      <c r="E15" s="19" t="s">
        <v>17</v>
      </c>
      <c r="F15" s="20">
        <v>50</v>
      </c>
      <c r="G15" s="19" t="s">
        <v>72</v>
      </c>
      <c r="H15" s="19" t="s">
        <v>40</v>
      </c>
      <c r="I15" s="20">
        <v>20</v>
      </c>
      <c r="J15" s="19" t="s">
        <v>172</v>
      </c>
      <c r="K15" s="3"/>
    </row>
    <row r="16" spans="1:11" ht="45" x14ac:dyDescent="0.2">
      <c r="A16" s="7" t="str">
        <f t="shared" si="0"/>
        <v>ESENBOGA (TURKEY)</v>
      </c>
      <c r="B16" s="10" t="s">
        <v>34</v>
      </c>
      <c r="C16" s="28" t="s">
        <v>73</v>
      </c>
      <c r="D16" s="22" t="s">
        <v>55</v>
      </c>
      <c r="E16" s="22" t="s">
        <v>173</v>
      </c>
      <c r="F16" s="23">
        <v>50</v>
      </c>
      <c r="G16" s="19" t="s">
        <v>74</v>
      </c>
      <c r="H16" s="29" t="s">
        <v>81</v>
      </c>
      <c r="I16" s="23">
        <v>3125</v>
      </c>
      <c r="J16" s="19" t="s">
        <v>174</v>
      </c>
      <c r="K16" s="3"/>
    </row>
    <row r="17" spans="1:11" ht="22.5" x14ac:dyDescent="0.2">
      <c r="A17" s="7" t="str">
        <f t="shared" si="0"/>
        <v>ESKISEHIR (TURKEY)</v>
      </c>
      <c r="B17" s="10" t="s">
        <v>34</v>
      </c>
      <c r="C17" s="27" t="s">
        <v>15</v>
      </c>
      <c r="D17" s="19" t="s">
        <v>48</v>
      </c>
      <c r="E17" s="19" t="s">
        <v>266</v>
      </c>
      <c r="F17" s="20">
        <v>50</v>
      </c>
      <c r="G17" s="19" t="s">
        <v>60</v>
      </c>
      <c r="H17" s="19" t="s">
        <v>38</v>
      </c>
      <c r="I17" s="20">
        <v>2581</v>
      </c>
      <c r="J17" s="19" t="s">
        <v>175</v>
      </c>
      <c r="K17" s="3"/>
    </row>
    <row r="18" spans="1:11" ht="22.5" x14ac:dyDescent="0.2">
      <c r="A18" s="7" t="str">
        <f t="shared" si="0"/>
        <v>ETIMESGUT (TURKEY)</v>
      </c>
      <c r="B18" s="10" t="s">
        <v>34</v>
      </c>
      <c r="C18" s="27" t="s">
        <v>16</v>
      </c>
      <c r="D18" s="19" t="s">
        <v>48</v>
      </c>
      <c r="E18" s="19" t="s">
        <v>18</v>
      </c>
      <c r="F18" s="20">
        <v>50</v>
      </c>
      <c r="G18" s="19" t="s">
        <v>75</v>
      </c>
      <c r="H18" s="19" t="s">
        <v>45</v>
      </c>
      <c r="I18" s="20">
        <v>2653</v>
      </c>
      <c r="J18" s="19" t="s">
        <v>176</v>
      </c>
      <c r="K18" s="3"/>
    </row>
    <row r="19" spans="1:11" ht="22.5" x14ac:dyDescent="0.2">
      <c r="A19" s="7" t="str">
        <f t="shared" si="0"/>
        <v>GAZIEMIR (TURKEY)</v>
      </c>
      <c r="B19" s="10" t="s">
        <v>34</v>
      </c>
      <c r="C19" s="28" t="s">
        <v>76</v>
      </c>
      <c r="D19" s="22" t="s">
        <v>177</v>
      </c>
      <c r="E19" s="37" t="s">
        <v>66</v>
      </c>
      <c r="F19" s="38"/>
      <c r="G19" s="22" t="s">
        <v>60</v>
      </c>
      <c r="H19" s="19" t="s">
        <v>82</v>
      </c>
      <c r="I19" s="23">
        <v>412</v>
      </c>
      <c r="J19" s="19" t="s">
        <v>178</v>
      </c>
      <c r="K19" s="3"/>
    </row>
    <row r="20" spans="1:11" ht="22.5" x14ac:dyDescent="0.2">
      <c r="A20" s="7" t="str">
        <f t="shared" si="0"/>
        <v>GUVERCINLIK (TURKEY)</v>
      </c>
      <c r="B20" s="10" t="s">
        <v>34</v>
      </c>
      <c r="C20" s="27" t="s">
        <v>83</v>
      </c>
      <c r="D20" s="19" t="s">
        <v>179</v>
      </c>
      <c r="E20" s="24" t="s">
        <v>66</v>
      </c>
      <c r="F20" s="36"/>
      <c r="G20" s="19" t="s">
        <v>60</v>
      </c>
      <c r="H20" s="19" t="s">
        <v>84</v>
      </c>
      <c r="I20" s="20">
        <v>2694</v>
      </c>
      <c r="J20" s="19" t="s">
        <v>180</v>
      </c>
      <c r="K20" s="3"/>
    </row>
    <row r="21" spans="1:11" ht="22.5" x14ac:dyDescent="0.2">
      <c r="A21" s="7" t="str">
        <f t="shared" si="0"/>
        <v>HEZARFEN
(istanbul) (TURKEY)</v>
      </c>
      <c r="B21" s="10" t="s">
        <v>34</v>
      </c>
      <c r="C21" s="27" t="s">
        <v>85</v>
      </c>
      <c r="D21" s="19" t="s">
        <v>177</v>
      </c>
      <c r="E21" s="24" t="s">
        <v>66</v>
      </c>
      <c r="F21" s="36"/>
      <c r="G21" s="19" t="s">
        <v>60</v>
      </c>
      <c r="H21" s="19" t="s">
        <v>82</v>
      </c>
      <c r="I21" s="20">
        <v>229</v>
      </c>
      <c r="J21" s="19" t="s">
        <v>181</v>
      </c>
      <c r="K21" s="3"/>
    </row>
    <row r="22" spans="1:11" ht="22.5" x14ac:dyDescent="0.2">
      <c r="A22" s="7" t="str">
        <f t="shared" si="0"/>
        <v>KAKLIC (TURKEY)</v>
      </c>
      <c r="B22" s="10" t="s">
        <v>34</v>
      </c>
      <c r="C22" s="27" t="s">
        <v>19</v>
      </c>
      <c r="D22" s="19" t="s">
        <v>182</v>
      </c>
      <c r="E22" s="19" t="s">
        <v>20</v>
      </c>
      <c r="F22" s="20">
        <v>50</v>
      </c>
      <c r="G22" s="19" t="s">
        <v>60</v>
      </c>
      <c r="H22" s="19" t="s">
        <v>43</v>
      </c>
      <c r="I22" s="20">
        <v>13</v>
      </c>
      <c r="J22" s="19" t="s">
        <v>183</v>
      </c>
      <c r="K22" s="3"/>
    </row>
    <row r="23" spans="1:11" ht="22.5" x14ac:dyDescent="0.2">
      <c r="A23" s="7" t="str">
        <f t="shared" si="0"/>
        <v>KONYA (TURKEY)</v>
      </c>
      <c r="B23" s="10" t="s">
        <v>34</v>
      </c>
      <c r="C23" s="27" t="s">
        <v>21</v>
      </c>
      <c r="D23" s="19" t="s">
        <v>48</v>
      </c>
      <c r="E23" s="19" t="s">
        <v>267</v>
      </c>
      <c r="F23" s="20">
        <v>50</v>
      </c>
      <c r="G23" s="19" t="s">
        <v>60</v>
      </c>
      <c r="H23" s="19" t="s">
        <v>40</v>
      </c>
      <c r="I23" s="20">
        <v>3381</v>
      </c>
      <c r="J23" s="19" t="s">
        <v>184</v>
      </c>
      <c r="K23" s="3"/>
    </row>
    <row r="24" spans="1:11" ht="22.5" x14ac:dyDescent="0.2">
      <c r="A24" s="7" t="str">
        <f t="shared" si="0"/>
        <v>KOSEKOY (TURKEY)</v>
      </c>
      <c r="B24" s="10" t="s">
        <v>34</v>
      </c>
      <c r="C24" s="27" t="s">
        <v>86</v>
      </c>
      <c r="D24" s="19" t="s">
        <v>179</v>
      </c>
      <c r="E24" s="24" t="s">
        <v>66</v>
      </c>
      <c r="F24" s="36"/>
      <c r="G24" s="19" t="s">
        <v>60</v>
      </c>
      <c r="H24" s="19" t="s">
        <v>84</v>
      </c>
      <c r="I24" s="20">
        <v>32</v>
      </c>
      <c r="J24" s="19" t="s">
        <v>185</v>
      </c>
      <c r="K24" s="3"/>
    </row>
    <row r="25" spans="1:11" ht="22.5" x14ac:dyDescent="0.2">
      <c r="A25" s="7" t="str">
        <f t="shared" si="0"/>
        <v>KUTAHYA (TURKEY)</v>
      </c>
      <c r="B25" s="10" t="s">
        <v>34</v>
      </c>
      <c r="C25" s="27" t="s">
        <v>87</v>
      </c>
      <c r="D25" s="19" t="s">
        <v>48</v>
      </c>
      <c r="E25" s="19" t="s">
        <v>268</v>
      </c>
      <c r="F25" s="20">
        <v>50</v>
      </c>
      <c r="G25" s="19" t="s">
        <v>60</v>
      </c>
      <c r="H25" s="19" t="s">
        <v>43</v>
      </c>
      <c r="I25" s="20">
        <v>3026</v>
      </c>
      <c r="J25" s="19" t="s">
        <v>186</v>
      </c>
      <c r="K25" s="3"/>
    </row>
    <row r="26" spans="1:11" ht="22.5" x14ac:dyDescent="0.2">
      <c r="A26" s="7" t="str">
        <f t="shared" si="0"/>
        <v>SABIHA GOKCEN (TURKEY)</v>
      </c>
      <c r="B26" s="10" t="s">
        <v>34</v>
      </c>
      <c r="C26" s="27" t="s">
        <v>88</v>
      </c>
      <c r="D26" s="22" t="s">
        <v>298</v>
      </c>
      <c r="E26" s="22" t="s">
        <v>187</v>
      </c>
      <c r="F26" s="23">
        <v>100</v>
      </c>
      <c r="G26" s="19" t="s">
        <v>89</v>
      </c>
      <c r="H26" s="19" t="s">
        <v>80</v>
      </c>
      <c r="I26" s="23">
        <v>268</v>
      </c>
      <c r="J26" s="19" t="s">
        <v>188</v>
      </c>
      <c r="K26" s="3"/>
    </row>
    <row r="27" spans="1:11" ht="22.5" x14ac:dyDescent="0.2">
      <c r="A27" s="7" t="str">
        <f t="shared" si="0"/>
        <v>SAMANDIRA (TURKEY)</v>
      </c>
      <c r="B27" s="10" t="s">
        <v>34</v>
      </c>
      <c r="C27" s="27" t="s">
        <v>90</v>
      </c>
      <c r="D27" s="19" t="s">
        <v>177</v>
      </c>
      <c r="E27" s="24" t="s">
        <v>66</v>
      </c>
      <c r="F27" s="36"/>
      <c r="G27" s="19" t="s">
        <v>60</v>
      </c>
      <c r="H27" s="19" t="s">
        <v>82</v>
      </c>
      <c r="I27" s="20">
        <v>400</v>
      </c>
      <c r="J27" s="19" t="s">
        <v>189</v>
      </c>
      <c r="K27" s="3"/>
    </row>
    <row r="28" spans="1:11" ht="22.5" x14ac:dyDescent="0.2">
      <c r="A28" s="7" t="str">
        <f t="shared" si="0"/>
        <v>SULEYMAN DEMIREL (TURKEY)</v>
      </c>
      <c r="B28" s="10" t="s">
        <v>34</v>
      </c>
      <c r="C28" s="27" t="s">
        <v>91</v>
      </c>
      <c r="D28" s="19" t="s">
        <v>190</v>
      </c>
      <c r="E28" s="19" t="s">
        <v>269</v>
      </c>
      <c r="F28" s="20">
        <v>100</v>
      </c>
      <c r="G28" s="19" t="s">
        <v>60</v>
      </c>
      <c r="H28" s="19" t="s">
        <v>80</v>
      </c>
      <c r="I28" s="20">
        <v>2835</v>
      </c>
      <c r="J28" s="19" t="s">
        <v>191</v>
      </c>
      <c r="K28" s="11"/>
    </row>
    <row r="29" spans="1:11" ht="22.5" x14ac:dyDescent="0.2">
      <c r="A29" s="7" t="str">
        <f t="shared" si="0"/>
        <v>SIVRIHISAR (TURKEY)</v>
      </c>
      <c r="B29" s="10" t="s">
        <v>34</v>
      </c>
      <c r="C29" s="27" t="s">
        <v>92</v>
      </c>
      <c r="D29" s="19" t="s">
        <v>48</v>
      </c>
      <c r="E29" s="19" t="s">
        <v>270</v>
      </c>
      <c r="F29" s="20">
        <v>50</v>
      </c>
      <c r="G29" s="19" t="s">
        <v>60</v>
      </c>
      <c r="H29" s="19" t="s">
        <v>45</v>
      </c>
      <c r="I29" s="20">
        <v>3194</v>
      </c>
      <c r="J29" s="19" t="s">
        <v>192</v>
      </c>
      <c r="K29" s="11"/>
    </row>
    <row r="30" spans="1:11" ht="22.5" x14ac:dyDescent="0.2">
      <c r="A30" s="7" t="str">
        <f t="shared" si="0"/>
        <v>TEMELLI (TURKEY)</v>
      </c>
      <c r="B30" s="10" t="s">
        <v>34</v>
      </c>
      <c r="C30" s="27" t="s">
        <v>93</v>
      </c>
      <c r="D30" s="19" t="s">
        <v>177</v>
      </c>
      <c r="E30" s="24" t="s">
        <v>66</v>
      </c>
      <c r="F30" s="36"/>
      <c r="G30" s="19" t="s">
        <v>60</v>
      </c>
      <c r="H30" s="19" t="s">
        <v>82</v>
      </c>
      <c r="I30" s="20">
        <v>2564</v>
      </c>
      <c r="J30" s="19" t="s">
        <v>193</v>
      </c>
      <c r="K30" s="11"/>
    </row>
    <row r="31" spans="1:11" ht="22.5" x14ac:dyDescent="0.2">
      <c r="A31" s="7" t="str">
        <f t="shared" si="0"/>
        <v>TOPEL (TURKEY)</v>
      </c>
      <c r="B31" s="10" t="s">
        <v>34</v>
      </c>
      <c r="C31" s="27" t="s">
        <v>94</v>
      </c>
      <c r="D31" s="19" t="s">
        <v>156</v>
      </c>
      <c r="E31" s="19" t="s">
        <v>271</v>
      </c>
      <c r="F31" s="20">
        <v>50</v>
      </c>
      <c r="G31" s="19" t="s">
        <v>60</v>
      </c>
      <c r="H31" s="19" t="s">
        <v>38</v>
      </c>
      <c r="I31" s="20">
        <v>182</v>
      </c>
      <c r="J31" s="19" t="s">
        <v>194</v>
      </c>
      <c r="K31" s="11"/>
    </row>
    <row r="32" spans="1:11" ht="22.5" x14ac:dyDescent="0.2">
      <c r="A32" s="7" t="str">
        <f t="shared" si="0"/>
        <v>YALOVA (TURKEY)</v>
      </c>
      <c r="B32" s="10" t="s">
        <v>34</v>
      </c>
      <c r="C32" s="27" t="s">
        <v>95</v>
      </c>
      <c r="D32" s="19" t="s">
        <v>177</v>
      </c>
      <c r="E32" s="24" t="s">
        <v>66</v>
      </c>
      <c r="F32" s="36"/>
      <c r="G32" s="19" t="s">
        <v>60</v>
      </c>
      <c r="H32" s="19" t="s">
        <v>84</v>
      </c>
      <c r="I32" s="30">
        <v>6</v>
      </c>
      <c r="J32" s="19" t="s">
        <v>195</v>
      </c>
      <c r="K32" s="11"/>
    </row>
    <row r="33" spans="1:11" ht="22.5" x14ac:dyDescent="0.2">
      <c r="A33" s="7" t="str">
        <f t="shared" si="0"/>
        <v>YENISEHIR (TURKEY)</v>
      </c>
      <c r="B33" s="10" t="s">
        <v>34</v>
      </c>
      <c r="C33" s="27" t="s">
        <v>22</v>
      </c>
      <c r="D33" s="19" t="s">
        <v>196</v>
      </c>
      <c r="E33" s="19" t="s">
        <v>272</v>
      </c>
      <c r="F33" s="20">
        <v>50</v>
      </c>
      <c r="G33" s="19" t="s">
        <v>96</v>
      </c>
      <c r="H33" s="19" t="s">
        <v>38</v>
      </c>
      <c r="I33" s="20">
        <v>764</v>
      </c>
      <c r="J33" s="19" t="s">
        <v>197</v>
      </c>
      <c r="K33" s="11"/>
    </row>
    <row r="34" spans="1:11" ht="22.5" x14ac:dyDescent="0.2">
      <c r="A34" s="7" t="str">
        <f t="shared" ref="A34:A65" si="1">CONCATENATE(C34," (",B34,")")</f>
        <v>ALEXANDRIA (GREECE)</v>
      </c>
      <c r="B34" s="10" t="s">
        <v>35</v>
      </c>
      <c r="C34" s="27" t="s">
        <v>97</v>
      </c>
      <c r="D34" s="19" t="s">
        <v>46</v>
      </c>
      <c r="E34" s="24" t="s">
        <v>66</v>
      </c>
      <c r="F34" s="36"/>
      <c r="G34" s="19" t="s">
        <v>60</v>
      </c>
      <c r="H34" s="19" t="s">
        <v>37</v>
      </c>
      <c r="I34" s="20">
        <v>26</v>
      </c>
      <c r="J34" s="19" t="s">
        <v>198</v>
      </c>
      <c r="K34" s="11"/>
    </row>
    <row r="35" spans="1:11" ht="22.5" x14ac:dyDescent="0.2">
      <c r="A35" s="7" t="str">
        <f t="shared" si="1"/>
        <v>ALEXANDROU-
POLIS (Dimokritos) (GREECE)</v>
      </c>
      <c r="B35" s="10" t="s">
        <v>35</v>
      </c>
      <c r="C35" s="27" t="s">
        <v>98</v>
      </c>
      <c r="D35" s="19" t="s">
        <v>47</v>
      </c>
      <c r="E35" s="19" t="s">
        <v>273</v>
      </c>
      <c r="F35" s="30">
        <v>50</v>
      </c>
      <c r="G35" s="19" t="s">
        <v>60</v>
      </c>
      <c r="H35" s="19" t="s">
        <v>38</v>
      </c>
      <c r="I35" s="20">
        <v>19</v>
      </c>
      <c r="J35" s="19" t="s">
        <v>199</v>
      </c>
      <c r="K35" s="11"/>
    </row>
    <row r="36" spans="1:11" ht="22.5" x14ac:dyDescent="0.2">
      <c r="A36" s="7" t="str">
        <f t="shared" si="1"/>
        <v>AMIGDHALEON (GREECE)</v>
      </c>
      <c r="B36" s="10" t="s">
        <v>35</v>
      </c>
      <c r="C36" s="27" t="s">
        <v>99</v>
      </c>
      <c r="D36" s="19" t="s">
        <v>48</v>
      </c>
      <c r="E36" s="24" t="s">
        <v>66</v>
      </c>
      <c r="F36" s="36"/>
      <c r="G36" s="19" t="s">
        <v>60</v>
      </c>
      <c r="H36" s="19" t="s">
        <v>39</v>
      </c>
      <c r="I36" s="20">
        <v>203</v>
      </c>
      <c r="J36" s="19" t="s">
        <v>200</v>
      </c>
      <c r="K36" s="11"/>
    </row>
    <row r="37" spans="1:11" ht="22.5" x14ac:dyDescent="0.2">
      <c r="A37" s="7" t="str">
        <f t="shared" si="1"/>
        <v>CHIOS (GREECE)</v>
      </c>
      <c r="B37" s="10" t="s">
        <v>35</v>
      </c>
      <c r="C37" s="27" t="s">
        <v>100</v>
      </c>
      <c r="D37" s="19" t="s">
        <v>49</v>
      </c>
      <c r="E37" s="19" t="s">
        <v>274</v>
      </c>
      <c r="F37" s="30">
        <v>50</v>
      </c>
      <c r="G37" s="19" t="s">
        <v>60</v>
      </c>
      <c r="H37" s="19" t="s">
        <v>40</v>
      </c>
      <c r="I37" s="20">
        <v>16</v>
      </c>
      <c r="J37" s="19" t="s">
        <v>201</v>
      </c>
      <c r="K37" s="11"/>
    </row>
    <row r="38" spans="1:11" ht="22.5" x14ac:dyDescent="0.2">
      <c r="A38" s="7" t="str">
        <f t="shared" si="1"/>
        <v>CHRISOUPOLIS
(mega Alexandros Intl) (GREECE)</v>
      </c>
      <c r="B38" s="10" t="s">
        <v>35</v>
      </c>
      <c r="C38" s="27" t="s">
        <v>101</v>
      </c>
      <c r="D38" s="22" t="s">
        <v>51</v>
      </c>
      <c r="E38" s="22" t="s">
        <v>275</v>
      </c>
      <c r="F38" s="31">
        <v>50</v>
      </c>
      <c r="G38" s="22" t="s">
        <v>60</v>
      </c>
      <c r="H38" s="19" t="s">
        <v>41</v>
      </c>
      <c r="I38" s="23">
        <v>16</v>
      </c>
      <c r="J38" s="19" t="s">
        <v>202</v>
      </c>
      <c r="K38" s="11"/>
    </row>
    <row r="39" spans="1:11" ht="22.5" x14ac:dyDescent="0.2">
      <c r="A39" s="7" t="str">
        <f t="shared" si="1"/>
        <v>ELEFSIS (GREECE)</v>
      </c>
      <c r="B39" s="10" t="s">
        <v>35</v>
      </c>
      <c r="C39" s="27" t="s">
        <v>102</v>
      </c>
      <c r="D39" s="19" t="s">
        <v>299</v>
      </c>
      <c r="E39" s="19" t="s">
        <v>276</v>
      </c>
      <c r="F39" s="30">
        <v>50</v>
      </c>
      <c r="G39" s="19" t="s">
        <v>60</v>
      </c>
      <c r="H39" s="19" t="s">
        <v>40</v>
      </c>
      <c r="I39" s="20">
        <v>144</v>
      </c>
      <c r="J39" s="19" t="s">
        <v>203</v>
      </c>
      <c r="K39" s="11"/>
    </row>
    <row r="40" spans="1:11" ht="22.5" x14ac:dyDescent="0.2">
      <c r="A40" s="7" t="str">
        <f t="shared" si="1"/>
        <v>HELLINIKON (GREECE)</v>
      </c>
      <c r="B40" s="10" t="s">
        <v>35</v>
      </c>
      <c r="C40" s="27" t="s">
        <v>103</v>
      </c>
      <c r="D40" s="19" t="s">
        <v>55</v>
      </c>
      <c r="E40" s="24" t="s">
        <v>66</v>
      </c>
      <c r="F40" s="36"/>
      <c r="G40" s="19" t="s">
        <v>60</v>
      </c>
      <c r="H40" s="19" t="s">
        <v>43</v>
      </c>
      <c r="I40" s="20">
        <v>68</v>
      </c>
      <c r="J40" s="19" t="s">
        <v>204</v>
      </c>
      <c r="K40" s="11"/>
    </row>
    <row r="41" spans="1:11" ht="22.5" x14ac:dyDescent="0.2">
      <c r="A41" s="7" t="str">
        <f t="shared" si="1"/>
        <v>IRAKLION (Nikos
Kazantzakis) (GREECE)</v>
      </c>
      <c r="B41" s="10" t="s">
        <v>35</v>
      </c>
      <c r="C41" s="27" t="s">
        <v>104</v>
      </c>
      <c r="D41" s="19" t="s">
        <v>300</v>
      </c>
      <c r="E41" s="19" t="s">
        <v>277</v>
      </c>
      <c r="F41" s="20">
        <v>100</v>
      </c>
      <c r="G41" s="19" t="s">
        <v>105</v>
      </c>
      <c r="H41" s="19" t="s">
        <v>37</v>
      </c>
      <c r="I41" s="20">
        <v>114</v>
      </c>
      <c r="J41" s="19" t="s">
        <v>205</v>
      </c>
      <c r="K41" s="11"/>
    </row>
    <row r="42" spans="1:11" ht="22.5" x14ac:dyDescent="0.2">
      <c r="A42" s="7" t="str">
        <f t="shared" si="1"/>
        <v>KALAMATA (GREECE)</v>
      </c>
      <c r="B42" s="10" t="s">
        <v>35</v>
      </c>
      <c r="C42" s="27" t="s">
        <v>23</v>
      </c>
      <c r="D42" s="19" t="s">
        <v>301</v>
      </c>
      <c r="E42" s="19" t="s">
        <v>278</v>
      </c>
      <c r="F42" s="30">
        <v>50</v>
      </c>
      <c r="G42" s="19" t="s">
        <v>106</v>
      </c>
      <c r="H42" s="19" t="s">
        <v>43</v>
      </c>
      <c r="I42" s="20">
        <v>26</v>
      </c>
      <c r="J42" s="19" t="s">
        <v>206</v>
      </c>
      <c r="K42" s="11"/>
    </row>
    <row r="43" spans="1:11" ht="22.5" x14ac:dyDescent="0.2">
      <c r="A43" s="7" t="str">
        <f t="shared" si="1"/>
        <v>KARPATHOS (GREECE)</v>
      </c>
      <c r="B43" s="10" t="s">
        <v>35</v>
      </c>
      <c r="C43" s="27" t="s">
        <v>107</v>
      </c>
      <c r="D43" s="19" t="s">
        <v>50</v>
      </c>
      <c r="E43" s="19" t="s">
        <v>279</v>
      </c>
      <c r="F43" s="30">
        <v>50</v>
      </c>
      <c r="G43" s="19" t="s">
        <v>60</v>
      </c>
      <c r="H43" s="19" t="s">
        <v>37</v>
      </c>
      <c r="I43" s="20">
        <v>65</v>
      </c>
      <c r="J43" s="19" t="s">
        <v>207</v>
      </c>
      <c r="K43" s="11"/>
    </row>
    <row r="44" spans="1:11" ht="22.5" x14ac:dyDescent="0.2">
      <c r="A44" s="7" t="str">
        <f t="shared" si="1"/>
        <v>KASTELI (GREECE)</v>
      </c>
      <c r="B44" s="10" t="s">
        <v>35</v>
      </c>
      <c r="C44" s="27" t="s">
        <v>24</v>
      </c>
      <c r="D44" s="19" t="s">
        <v>156</v>
      </c>
      <c r="E44" s="19" t="s">
        <v>280</v>
      </c>
      <c r="F44" s="30">
        <v>50</v>
      </c>
      <c r="G44" s="19" t="s">
        <v>60</v>
      </c>
      <c r="H44" s="19" t="s">
        <v>42</v>
      </c>
      <c r="I44" s="20">
        <v>1181</v>
      </c>
      <c r="J44" s="19" t="s">
        <v>208</v>
      </c>
      <c r="K44" s="11"/>
    </row>
    <row r="45" spans="1:11" ht="22.5" x14ac:dyDescent="0.2">
      <c r="A45" s="7" t="str">
        <f t="shared" si="1"/>
        <v>KOMOTINI (GREECE)</v>
      </c>
      <c r="B45" s="10" t="s">
        <v>35</v>
      </c>
      <c r="C45" s="27" t="s">
        <v>108</v>
      </c>
      <c r="D45" s="19" t="s">
        <v>209</v>
      </c>
      <c r="E45" s="24" t="s">
        <v>66</v>
      </c>
      <c r="F45" s="36"/>
      <c r="G45" s="19" t="s">
        <v>60</v>
      </c>
      <c r="H45" s="19" t="s">
        <v>84</v>
      </c>
      <c r="I45" s="20">
        <v>78</v>
      </c>
      <c r="J45" s="19" t="s">
        <v>210</v>
      </c>
      <c r="K45" s="11"/>
    </row>
    <row r="46" spans="1:11" ht="22.5" x14ac:dyDescent="0.2">
      <c r="A46" s="7" t="str">
        <f t="shared" si="1"/>
        <v>KOS (GREECE)</v>
      </c>
      <c r="B46" s="10" t="s">
        <v>35</v>
      </c>
      <c r="C46" s="27" t="s">
        <v>109</v>
      </c>
      <c r="D46" s="19" t="s">
        <v>52</v>
      </c>
      <c r="E46" s="19" t="s">
        <v>281</v>
      </c>
      <c r="F46" s="30">
        <v>50</v>
      </c>
      <c r="G46" s="19" t="s">
        <v>110</v>
      </c>
      <c r="H46" s="19" t="s">
        <v>39</v>
      </c>
      <c r="I46" s="20">
        <v>410</v>
      </c>
      <c r="J46" s="19" t="s">
        <v>211</v>
      </c>
      <c r="K46" s="11"/>
    </row>
    <row r="47" spans="1:11" ht="22.5" x14ac:dyDescent="0.2">
      <c r="A47" s="7" t="str">
        <f t="shared" si="1"/>
        <v>KOZANI (Filippos) (GREECE)</v>
      </c>
      <c r="B47" s="10" t="s">
        <v>35</v>
      </c>
      <c r="C47" s="27" t="s">
        <v>111</v>
      </c>
      <c r="D47" s="19" t="s">
        <v>53</v>
      </c>
      <c r="E47" s="19" t="s">
        <v>279</v>
      </c>
      <c r="F47" s="30">
        <v>50</v>
      </c>
      <c r="G47" s="19" t="s">
        <v>60</v>
      </c>
      <c r="H47" s="19" t="s">
        <v>39</v>
      </c>
      <c r="I47" s="20">
        <v>2080</v>
      </c>
      <c r="J47" s="19" t="s">
        <v>212</v>
      </c>
      <c r="K47" s="11"/>
    </row>
    <row r="48" spans="1:11" ht="22.5" x14ac:dyDescent="0.25">
      <c r="A48" s="7" t="str">
        <f t="shared" si="1"/>
        <v>LAMIA (GREECE)</v>
      </c>
      <c r="B48" s="10" t="s">
        <v>35</v>
      </c>
      <c r="C48" s="27" t="s">
        <v>112</v>
      </c>
      <c r="D48" s="19" t="s">
        <v>209</v>
      </c>
      <c r="E48" s="24" t="s">
        <v>66</v>
      </c>
      <c r="F48" s="36"/>
      <c r="G48" s="19" t="s">
        <v>60</v>
      </c>
      <c r="H48" s="19" t="s">
        <v>84</v>
      </c>
      <c r="I48" s="20">
        <v>98</v>
      </c>
      <c r="J48" s="19" t="s">
        <v>213</v>
      </c>
      <c r="K48" s="25"/>
    </row>
    <row r="49" spans="1:11" ht="22.5" x14ac:dyDescent="0.25">
      <c r="A49" s="7" t="str">
        <f t="shared" si="1"/>
        <v>LARISA (GREECE)</v>
      </c>
      <c r="B49" s="10" t="s">
        <v>35</v>
      </c>
      <c r="C49" s="27" t="s">
        <v>113</v>
      </c>
      <c r="D49" s="19" t="s">
        <v>302</v>
      </c>
      <c r="E49" s="19" t="s">
        <v>281</v>
      </c>
      <c r="F49" s="30">
        <v>50</v>
      </c>
      <c r="G49" s="19" t="s">
        <v>60</v>
      </c>
      <c r="H49" s="19" t="s">
        <v>38</v>
      </c>
      <c r="I49" s="20">
        <v>239</v>
      </c>
      <c r="J49" s="19" t="s">
        <v>214</v>
      </c>
      <c r="K49" s="25"/>
    </row>
    <row r="50" spans="1:11" ht="22.5" x14ac:dyDescent="0.25">
      <c r="A50" s="7" t="str">
        <f t="shared" si="1"/>
        <v>LEROS (GREECE)</v>
      </c>
      <c r="B50" s="10" t="s">
        <v>35</v>
      </c>
      <c r="C50" s="27" t="s">
        <v>114</v>
      </c>
      <c r="D50" s="19" t="s">
        <v>303</v>
      </c>
      <c r="E50" s="24" t="s">
        <v>66</v>
      </c>
      <c r="F50" s="36"/>
      <c r="G50" s="19" t="s">
        <v>60</v>
      </c>
      <c r="H50" s="19" t="s">
        <v>39</v>
      </c>
      <c r="I50" s="20">
        <v>36</v>
      </c>
      <c r="J50" s="19" t="s">
        <v>215</v>
      </c>
      <c r="K50" s="25"/>
    </row>
    <row r="51" spans="1:11" ht="22.5" x14ac:dyDescent="0.25">
      <c r="A51" s="7" t="str">
        <f t="shared" si="1"/>
        <v>LIMNOS (GREECE)</v>
      </c>
      <c r="B51" s="10" t="s">
        <v>35</v>
      </c>
      <c r="C51" s="27" t="s">
        <v>25</v>
      </c>
      <c r="D51" s="19" t="s">
        <v>216</v>
      </c>
      <c r="E51" s="19" t="s">
        <v>282</v>
      </c>
      <c r="F51" s="30">
        <v>50</v>
      </c>
      <c r="G51" s="19" t="s">
        <v>60</v>
      </c>
      <c r="H51" s="19" t="s">
        <v>44</v>
      </c>
      <c r="I51" s="20">
        <v>16</v>
      </c>
      <c r="J51" s="19" t="s">
        <v>217</v>
      </c>
      <c r="K51" s="25"/>
    </row>
    <row r="52" spans="1:11" ht="22.5" x14ac:dyDescent="0.25">
      <c r="A52" s="7" t="str">
        <f t="shared" si="1"/>
        <v>MARATHON (GREECE)</v>
      </c>
      <c r="B52" s="10" t="s">
        <v>35</v>
      </c>
      <c r="C52" s="27" t="s">
        <v>115</v>
      </c>
      <c r="D52" s="19" t="s">
        <v>218</v>
      </c>
      <c r="E52" s="24" t="s">
        <v>66</v>
      </c>
      <c r="F52" s="36"/>
      <c r="G52" s="19" t="s">
        <v>60</v>
      </c>
      <c r="H52" s="19" t="s">
        <v>82</v>
      </c>
      <c r="I52" s="20">
        <v>711</v>
      </c>
      <c r="J52" s="19" t="s">
        <v>219</v>
      </c>
      <c r="K52" s="25"/>
    </row>
    <row r="53" spans="1:11" ht="22.5" x14ac:dyDescent="0.25">
      <c r="A53" s="7" t="str">
        <f t="shared" si="1"/>
        <v>MARITSA (GREECE)</v>
      </c>
      <c r="B53" s="10" t="s">
        <v>35</v>
      </c>
      <c r="C53" s="27" t="s">
        <v>116</v>
      </c>
      <c r="D53" s="19" t="s">
        <v>55</v>
      </c>
      <c r="E53" s="24" t="s">
        <v>66</v>
      </c>
      <c r="F53" s="36"/>
      <c r="G53" s="19" t="s">
        <v>60</v>
      </c>
      <c r="H53" s="19" t="s">
        <v>38</v>
      </c>
      <c r="I53" s="20">
        <v>203</v>
      </c>
      <c r="J53" s="19" t="s">
        <v>220</v>
      </c>
      <c r="K53" s="25"/>
    </row>
    <row r="54" spans="1:11" ht="22.5" x14ac:dyDescent="0.25">
      <c r="A54" s="7" t="str">
        <f t="shared" si="1"/>
        <v>MEGARA (GREECE)</v>
      </c>
      <c r="B54" s="10" t="s">
        <v>35</v>
      </c>
      <c r="C54" s="27" t="s">
        <v>117</v>
      </c>
      <c r="D54" s="19" t="s">
        <v>221</v>
      </c>
      <c r="E54" s="24" t="s">
        <v>66</v>
      </c>
      <c r="F54" s="36"/>
      <c r="G54" s="19" t="s">
        <v>60</v>
      </c>
      <c r="H54" s="19" t="s">
        <v>38</v>
      </c>
      <c r="I54" s="20">
        <v>120</v>
      </c>
      <c r="J54" s="19" t="s">
        <v>222</v>
      </c>
      <c r="K54" s="25"/>
    </row>
    <row r="55" spans="1:11" ht="22.5" x14ac:dyDescent="0.25">
      <c r="A55" s="7" t="str">
        <f t="shared" si="1"/>
        <v>MIKONOS (GREECE)</v>
      </c>
      <c r="B55" s="10" t="s">
        <v>35</v>
      </c>
      <c r="C55" s="27" t="s">
        <v>118</v>
      </c>
      <c r="D55" s="19" t="s">
        <v>312</v>
      </c>
      <c r="E55" s="19" t="s">
        <v>283</v>
      </c>
      <c r="F55" s="30">
        <v>50</v>
      </c>
      <c r="G55" s="19" t="s">
        <v>60</v>
      </c>
      <c r="H55" s="19" t="s">
        <v>43</v>
      </c>
      <c r="I55" s="20">
        <v>450</v>
      </c>
      <c r="J55" s="19" t="s">
        <v>223</v>
      </c>
      <c r="K55" s="25"/>
    </row>
    <row r="56" spans="1:11" ht="22.5" x14ac:dyDescent="0.25">
      <c r="A56" s="7" t="str">
        <f t="shared" si="1"/>
        <v>MITILINI (GREECE)</v>
      </c>
      <c r="B56" s="10" t="s">
        <v>35</v>
      </c>
      <c r="C56" s="27" t="s">
        <v>119</v>
      </c>
      <c r="D56" s="19" t="s">
        <v>54</v>
      </c>
      <c r="E56" s="19" t="s">
        <v>279</v>
      </c>
      <c r="F56" s="30">
        <v>50</v>
      </c>
      <c r="G56" s="19" t="s">
        <v>60</v>
      </c>
      <c r="H56" s="19" t="s">
        <v>39</v>
      </c>
      <c r="I56" s="20">
        <v>55</v>
      </c>
      <c r="J56" s="19" t="s">
        <v>224</v>
      </c>
      <c r="K56" s="25"/>
    </row>
    <row r="57" spans="1:11" ht="22.5" x14ac:dyDescent="0.25">
      <c r="A57" s="7" t="str">
        <f t="shared" si="1"/>
        <v>NEA ANCHIALOS (GREECE)</v>
      </c>
      <c r="B57" s="10" t="s">
        <v>35</v>
      </c>
      <c r="C57" s="27" t="s">
        <v>26</v>
      </c>
      <c r="D57" s="19" t="s">
        <v>48</v>
      </c>
      <c r="E57" s="19" t="s">
        <v>284</v>
      </c>
      <c r="F57" s="30">
        <v>50</v>
      </c>
      <c r="G57" s="19" t="s">
        <v>60</v>
      </c>
      <c r="H57" s="19" t="s">
        <v>38</v>
      </c>
      <c r="I57" s="20">
        <v>82</v>
      </c>
      <c r="J57" s="19" t="s">
        <v>225</v>
      </c>
      <c r="K57" s="25"/>
    </row>
    <row r="58" spans="1:11" ht="22.5" x14ac:dyDescent="0.25">
      <c r="A58" s="7" t="str">
        <f t="shared" si="1"/>
        <v>OLIMBOI (GREECE)</v>
      </c>
      <c r="B58" s="10" t="s">
        <v>35</v>
      </c>
      <c r="C58" s="27" t="s">
        <v>120</v>
      </c>
      <c r="D58" s="19" t="s">
        <v>209</v>
      </c>
      <c r="E58" s="24" t="s">
        <v>66</v>
      </c>
      <c r="F58" s="36"/>
      <c r="G58" s="19" t="s">
        <v>60</v>
      </c>
      <c r="H58" s="19" t="s">
        <v>84</v>
      </c>
      <c r="I58" s="20">
        <v>656</v>
      </c>
      <c r="J58" s="19" t="s">
        <v>226</v>
      </c>
      <c r="K58" s="25"/>
    </row>
    <row r="59" spans="1:11" ht="22.5" x14ac:dyDescent="0.25">
      <c r="A59" s="7" t="str">
        <f t="shared" si="1"/>
        <v>PARADISI
(Dioagoras - Rodos) (GREECE)</v>
      </c>
      <c r="B59" s="10" t="s">
        <v>35</v>
      </c>
      <c r="C59" s="27" t="s">
        <v>121</v>
      </c>
      <c r="D59" s="19" t="s">
        <v>227</v>
      </c>
      <c r="E59" s="19" t="s">
        <v>285</v>
      </c>
      <c r="F59" s="30">
        <v>50</v>
      </c>
      <c r="G59" s="19" t="s">
        <v>122</v>
      </c>
      <c r="H59" s="19" t="s">
        <v>38</v>
      </c>
      <c r="I59" s="20">
        <v>16</v>
      </c>
      <c r="J59" s="19" t="s">
        <v>228</v>
      </c>
      <c r="K59" s="25"/>
    </row>
    <row r="60" spans="1:11" ht="22.5" x14ac:dyDescent="0.25">
      <c r="A60" s="7" t="str">
        <f t="shared" si="1"/>
        <v>POLIKHNITOS (GREECE)</v>
      </c>
      <c r="B60" s="10" t="s">
        <v>35</v>
      </c>
      <c r="C60" s="27" t="s">
        <v>123</v>
      </c>
      <c r="D60" s="19" t="s">
        <v>218</v>
      </c>
      <c r="E60" s="24" t="s">
        <v>66</v>
      </c>
      <c r="F60" s="36"/>
      <c r="G60" s="19" t="s">
        <v>60</v>
      </c>
      <c r="H60" s="19" t="s">
        <v>82</v>
      </c>
      <c r="I60" s="20">
        <v>649</v>
      </c>
      <c r="J60" s="19" t="s">
        <v>229</v>
      </c>
      <c r="K60" s="25"/>
    </row>
    <row r="61" spans="1:11" ht="22.5" x14ac:dyDescent="0.25">
      <c r="A61" s="7" t="str">
        <f t="shared" si="1"/>
        <v>SAMOS (GREECE)</v>
      </c>
      <c r="B61" s="10" t="s">
        <v>35</v>
      </c>
      <c r="C61" s="27" t="s">
        <v>124</v>
      </c>
      <c r="D61" s="19" t="s">
        <v>48</v>
      </c>
      <c r="E61" s="19" t="s">
        <v>286</v>
      </c>
      <c r="F61" s="30">
        <v>50</v>
      </c>
      <c r="G61" s="19" t="s">
        <v>60</v>
      </c>
      <c r="H61" s="19" t="s">
        <v>38</v>
      </c>
      <c r="I61" s="20">
        <v>32</v>
      </c>
      <c r="J61" s="19" t="s">
        <v>230</v>
      </c>
      <c r="K61" s="25"/>
    </row>
    <row r="62" spans="1:11" ht="22.5" x14ac:dyDescent="0.25">
      <c r="A62" s="7" t="str">
        <f t="shared" si="1"/>
        <v>SANTORINI (GREECE)</v>
      </c>
      <c r="B62" s="10" t="s">
        <v>35</v>
      </c>
      <c r="C62" s="27" t="s">
        <v>27</v>
      </c>
      <c r="D62" s="19" t="s">
        <v>304</v>
      </c>
      <c r="E62" s="19" t="s">
        <v>287</v>
      </c>
      <c r="F62" s="20">
        <v>100</v>
      </c>
      <c r="G62" s="19" t="s">
        <v>60</v>
      </c>
      <c r="H62" s="19" t="s">
        <v>43</v>
      </c>
      <c r="I62" s="20">
        <v>131</v>
      </c>
      <c r="J62" s="19" t="s">
        <v>231</v>
      </c>
      <c r="K62" s="25"/>
    </row>
    <row r="63" spans="1:11" ht="22.5" x14ac:dyDescent="0.25">
      <c r="A63" s="7" t="str">
        <f t="shared" si="1"/>
        <v>SKIATHOS (GREECE)</v>
      </c>
      <c r="B63" s="10" t="s">
        <v>35</v>
      </c>
      <c r="C63" s="27" t="s">
        <v>125</v>
      </c>
      <c r="D63" s="19" t="s">
        <v>56</v>
      </c>
      <c r="E63" s="24" t="s">
        <v>66</v>
      </c>
      <c r="F63" s="36"/>
      <c r="G63" s="19" t="s">
        <v>60</v>
      </c>
      <c r="H63" s="19" t="s">
        <v>42</v>
      </c>
      <c r="I63" s="20">
        <v>49</v>
      </c>
      <c r="J63" s="19" t="s">
        <v>232</v>
      </c>
      <c r="K63" s="25"/>
    </row>
    <row r="64" spans="1:11" ht="22.5" x14ac:dyDescent="0.25">
      <c r="A64" s="7" t="str">
        <f t="shared" si="1"/>
        <v>SKIROS (GREECE)</v>
      </c>
      <c r="B64" s="10" t="s">
        <v>35</v>
      </c>
      <c r="C64" s="27" t="s">
        <v>28</v>
      </c>
      <c r="D64" s="19" t="s">
        <v>50</v>
      </c>
      <c r="E64" s="19" t="s">
        <v>288</v>
      </c>
      <c r="F64" s="30">
        <v>50</v>
      </c>
      <c r="G64" s="19" t="s">
        <v>60</v>
      </c>
      <c r="H64" s="19" t="s">
        <v>40</v>
      </c>
      <c r="I64" s="20">
        <v>49</v>
      </c>
      <c r="J64" s="19" t="s">
        <v>233</v>
      </c>
      <c r="K64" s="25"/>
    </row>
    <row r="65" spans="1:11" ht="22.5" x14ac:dyDescent="0.2">
      <c r="A65" s="7" t="str">
        <f t="shared" si="1"/>
        <v>SOUDA (GREECE)</v>
      </c>
      <c r="B65" s="10" t="s">
        <v>35</v>
      </c>
      <c r="C65" s="28" t="s">
        <v>29</v>
      </c>
      <c r="D65" s="22" t="s">
        <v>234</v>
      </c>
      <c r="E65" s="22" t="s">
        <v>289</v>
      </c>
      <c r="F65" s="23">
        <v>50</v>
      </c>
      <c r="G65" s="19" t="s">
        <v>126</v>
      </c>
      <c r="H65" s="22" t="s">
        <v>45</v>
      </c>
      <c r="I65" s="23">
        <v>492</v>
      </c>
      <c r="J65" s="19" t="s">
        <v>235</v>
      </c>
      <c r="K65" s="13"/>
    </row>
    <row r="66" spans="1:11" ht="22.5" x14ac:dyDescent="0.2">
      <c r="A66" s="7" t="str">
        <f t="shared" ref="A66:A83" si="2">CONCATENATE(C66," (",B66,")")</f>
        <v>SPARTI (GREECE)</v>
      </c>
      <c r="B66" s="10" t="s">
        <v>35</v>
      </c>
      <c r="C66" s="27" t="s">
        <v>127</v>
      </c>
      <c r="D66" s="19" t="s">
        <v>209</v>
      </c>
      <c r="E66" s="24" t="s">
        <v>66</v>
      </c>
      <c r="F66" s="36"/>
      <c r="G66" s="19" t="s">
        <v>60</v>
      </c>
      <c r="H66" s="19" t="s">
        <v>84</v>
      </c>
      <c r="I66" s="20">
        <v>498</v>
      </c>
      <c r="J66" s="19" t="s">
        <v>236</v>
      </c>
      <c r="K66" s="13"/>
    </row>
    <row r="67" spans="1:11" ht="22.5" x14ac:dyDescent="0.2">
      <c r="A67" s="7" t="str">
        <f t="shared" si="2"/>
        <v>STEFANOVIKION (GREECE)</v>
      </c>
      <c r="B67" s="10" t="s">
        <v>35</v>
      </c>
      <c r="C67" s="27" t="s">
        <v>128</v>
      </c>
      <c r="D67" s="19" t="s">
        <v>209</v>
      </c>
      <c r="E67" s="24" t="s">
        <v>66</v>
      </c>
      <c r="F67" s="36"/>
      <c r="G67" s="19" t="s">
        <v>60</v>
      </c>
      <c r="H67" s="19" t="s">
        <v>84</v>
      </c>
      <c r="I67" s="20">
        <v>147</v>
      </c>
      <c r="J67" s="19" t="s">
        <v>237</v>
      </c>
      <c r="K67" s="13"/>
    </row>
    <row r="68" spans="1:11" ht="22.5" x14ac:dyDescent="0.2">
      <c r="A68" s="7" t="str">
        <f t="shared" si="2"/>
        <v>TANAGRA (GREECE)</v>
      </c>
      <c r="B68" s="10" t="s">
        <v>35</v>
      </c>
      <c r="C68" s="27" t="s">
        <v>30</v>
      </c>
      <c r="D68" s="19" t="s">
        <v>305</v>
      </c>
      <c r="E68" s="19" t="s">
        <v>290</v>
      </c>
      <c r="F68" s="30">
        <v>50</v>
      </c>
      <c r="G68" s="19" t="s">
        <v>60</v>
      </c>
      <c r="H68" s="19" t="s">
        <v>45</v>
      </c>
      <c r="I68" s="20">
        <v>485</v>
      </c>
      <c r="J68" s="19" t="s">
        <v>238</v>
      </c>
      <c r="K68" s="13"/>
    </row>
    <row r="69" spans="1:11" ht="22.5" x14ac:dyDescent="0.2">
      <c r="A69" s="7" t="str">
        <f t="shared" si="2"/>
        <v>TATOI (GREECE)</v>
      </c>
      <c r="B69" s="10" t="s">
        <v>35</v>
      </c>
      <c r="C69" s="27" t="s">
        <v>129</v>
      </c>
      <c r="D69" s="19" t="s">
        <v>57</v>
      </c>
      <c r="E69" s="24" t="s">
        <v>66</v>
      </c>
      <c r="F69" s="36"/>
      <c r="G69" s="19" t="s">
        <v>60</v>
      </c>
      <c r="H69" s="19" t="s">
        <v>44</v>
      </c>
      <c r="I69" s="20">
        <v>784</v>
      </c>
      <c r="J69" s="19" t="s">
        <v>239</v>
      </c>
      <c r="K69" s="13"/>
    </row>
    <row r="70" spans="1:11" ht="22.5" x14ac:dyDescent="0.2">
      <c r="A70" s="7" t="str">
        <f t="shared" si="2"/>
        <v>THESSALONIKI (GREECE)</v>
      </c>
      <c r="B70" s="10" t="s">
        <v>35</v>
      </c>
      <c r="C70" s="27" t="s">
        <v>130</v>
      </c>
      <c r="D70" s="19" t="s">
        <v>55</v>
      </c>
      <c r="E70" s="19" t="s">
        <v>291</v>
      </c>
      <c r="F70" s="20">
        <v>100</v>
      </c>
      <c r="G70" s="19" t="s">
        <v>131</v>
      </c>
      <c r="H70" s="19" t="s">
        <v>132</v>
      </c>
      <c r="I70" s="20">
        <v>22</v>
      </c>
      <c r="J70" s="19" t="s">
        <v>240</v>
      </c>
      <c r="K70" s="13"/>
    </row>
    <row r="71" spans="1:11" ht="22.5" x14ac:dyDescent="0.2">
      <c r="A71" s="7" t="str">
        <f t="shared" si="2"/>
        <v>TRIPOLIS (GREECE)</v>
      </c>
      <c r="B71" s="10" t="s">
        <v>35</v>
      </c>
      <c r="C71" s="27" t="s">
        <v>133</v>
      </c>
      <c r="D71" s="19" t="s">
        <v>48</v>
      </c>
      <c r="E71" s="19" t="s">
        <v>292</v>
      </c>
      <c r="F71" s="30">
        <v>50</v>
      </c>
      <c r="G71" s="19" t="s">
        <v>60</v>
      </c>
      <c r="H71" s="19" t="s">
        <v>42</v>
      </c>
      <c r="I71" s="20">
        <v>2112</v>
      </c>
      <c r="J71" s="19" t="s">
        <v>241</v>
      </c>
      <c r="K71" s="13"/>
    </row>
    <row r="72" spans="1:11" ht="22.5" x14ac:dyDescent="0.2">
      <c r="A72" s="7" t="str">
        <f t="shared" si="2"/>
        <v>TYMPAKI (GREECE)</v>
      </c>
      <c r="B72" s="10" t="s">
        <v>35</v>
      </c>
      <c r="C72" s="27" t="s">
        <v>134</v>
      </c>
      <c r="D72" s="19" t="s">
        <v>48</v>
      </c>
      <c r="E72" s="19" t="s">
        <v>292</v>
      </c>
      <c r="F72" s="30">
        <v>50</v>
      </c>
      <c r="G72" s="19" t="s">
        <v>60</v>
      </c>
      <c r="H72" s="19" t="s">
        <v>38</v>
      </c>
      <c r="I72" s="30">
        <v>6</v>
      </c>
      <c r="J72" s="19" t="s">
        <v>242</v>
      </c>
      <c r="K72" s="13"/>
    </row>
    <row r="73" spans="1:11" ht="45" x14ac:dyDescent="0.2">
      <c r="A73" s="7" t="str">
        <f t="shared" si="2"/>
        <v>VENIZELOS INTL (GREECE)</v>
      </c>
      <c r="B73" s="10" t="s">
        <v>35</v>
      </c>
      <c r="C73" s="28" t="s">
        <v>135</v>
      </c>
      <c r="D73" s="22" t="s">
        <v>313</v>
      </c>
      <c r="E73" s="22" t="s">
        <v>293</v>
      </c>
      <c r="F73" s="23">
        <v>100</v>
      </c>
      <c r="G73" s="19" t="s">
        <v>136</v>
      </c>
      <c r="H73" s="19" t="s">
        <v>81</v>
      </c>
      <c r="I73" s="23">
        <v>308</v>
      </c>
      <c r="J73" s="19" t="s">
        <v>243</v>
      </c>
      <c r="K73" s="13"/>
    </row>
    <row r="74" spans="1:11" ht="22.5" x14ac:dyDescent="0.2">
      <c r="A74" s="7" t="str">
        <f t="shared" si="2"/>
        <v>AKROTIRI (RAF) (CYPRUS)</v>
      </c>
      <c r="B74" s="9" t="s">
        <v>36</v>
      </c>
      <c r="C74" s="27" t="s">
        <v>31</v>
      </c>
      <c r="D74" s="19" t="s">
        <v>314</v>
      </c>
      <c r="E74" s="19" t="s">
        <v>294</v>
      </c>
      <c r="F74" s="20">
        <v>100</v>
      </c>
      <c r="G74" s="19" t="s">
        <v>137</v>
      </c>
      <c r="H74" s="19" t="s">
        <v>45</v>
      </c>
      <c r="I74" s="20">
        <v>75</v>
      </c>
      <c r="J74" s="19" t="s">
        <v>244</v>
      </c>
      <c r="K74" s="13"/>
    </row>
    <row r="75" spans="1:11" ht="22.5" x14ac:dyDescent="0.2">
      <c r="A75" s="7" t="str">
        <f t="shared" si="2"/>
        <v>PAPHOS INT. (CYPRUS)</v>
      </c>
      <c r="B75" s="9" t="s">
        <v>36</v>
      </c>
      <c r="C75" s="27" t="s">
        <v>32</v>
      </c>
      <c r="D75" s="19" t="s">
        <v>316</v>
      </c>
      <c r="E75" s="19" t="s">
        <v>295</v>
      </c>
      <c r="F75" s="20">
        <v>50</v>
      </c>
      <c r="G75" s="19" t="s">
        <v>138</v>
      </c>
      <c r="H75" s="19" t="s">
        <v>45</v>
      </c>
      <c r="I75" s="20">
        <v>39</v>
      </c>
      <c r="J75" s="19" t="s">
        <v>245</v>
      </c>
      <c r="K75" s="13"/>
    </row>
    <row r="76" spans="1:11" ht="22.5" x14ac:dyDescent="0.2">
      <c r="A76" s="7" t="str">
        <f t="shared" si="2"/>
        <v>SKOPJE (YUGOSLAVIA)</v>
      </c>
      <c r="B76" s="9" t="s">
        <v>317</v>
      </c>
      <c r="C76" s="27" t="s">
        <v>139</v>
      </c>
      <c r="D76" s="21" t="s">
        <v>315</v>
      </c>
      <c r="E76" s="33" t="s">
        <v>246</v>
      </c>
      <c r="F76" s="20" t="s">
        <v>149</v>
      </c>
      <c r="G76" s="21" t="s">
        <v>150</v>
      </c>
      <c r="H76" s="19" t="s">
        <v>43</v>
      </c>
      <c r="I76" s="20">
        <v>754</v>
      </c>
      <c r="J76" s="19" t="s">
        <v>247</v>
      </c>
      <c r="K76" s="13"/>
    </row>
    <row r="77" spans="1:11" ht="22.5" x14ac:dyDescent="0.2">
      <c r="A77" s="7" t="str">
        <f t="shared" si="2"/>
        <v>BEZMER (BULGARIA)</v>
      </c>
      <c r="B77" s="9" t="s">
        <v>318</v>
      </c>
      <c r="C77" s="26" t="s">
        <v>140</v>
      </c>
      <c r="D77" s="15" t="s">
        <v>306</v>
      </c>
      <c r="E77" s="17" t="s">
        <v>66</v>
      </c>
      <c r="F77" s="34"/>
      <c r="G77" s="15" t="s">
        <v>60</v>
      </c>
      <c r="H77" s="15" t="s">
        <v>37</v>
      </c>
      <c r="I77" s="16">
        <v>509</v>
      </c>
      <c r="J77" s="15" t="s">
        <v>248</v>
      </c>
      <c r="K77" s="13"/>
    </row>
    <row r="78" spans="1:11" ht="22.5" x14ac:dyDescent="0.2">
      <c r="A78" s="7" t="str">
        <f t="shared" si="2"/>
        <v>BURGAS (BULGARIA)</v>
      </c>
      <c r="B78" s="9" t="s">
        <v>318</v>
      </c>
      <c r="C78" s="26" t="s">
        <v>141</v>
      </c>
      <c r="D78" s="15" t="s">
        <v>307</v>
      </c>
      <c r="E78" s="17" t="s">
        <v>249</v>
      </c>
      <c r="F78" s="16">
        <v>50</v>
      </c>
      <c r="G78" s="15" t="s">
        <v>142</v>
      </c>
      <c r="H78" s="15" t="s">
        <v>44</v>
      </c>
      <c r="I78" s="16">
        <v>135</v>
      </c>
      <c r="J78" s="15" t="s">
        <v>250</v>
      </c>
      <c r="K78" s="13"/>
    </row>
    <row r="79" spans="1:11" ht="22.5" x14ac:dyDescent="0.2">
      <c r="A79" s="7" t="str">
        <f t="shared" si="2"/>
        <v>CHERNOVO (BULGARIA)</v>
      </c>
      <c r="B79" s="9" t="s">
        <v>318</v>
      </c>
      <c r="C79" s="26" t="s">
        <v>143</v>
      </c>
      <c r="D79" s="15" t="s">
        <v>308</v>
      </c>
      <c r="E79" s="17" t="s">
        <v>66</v>
      </c>
      <c r="F79" s="34"/>
      <c r="G79" s="15" t="s">
        <v>60</v>
      </c>
      <c r="H79" s="15" t="s">
        <v>84</v>
      </c>
      <c r="I79" s="16">
        <v>2276</v>
      </c>
      <c r="J79" s="15" t="s">
        <v>251</v>
      </c>
      <c r="K79" s="13"/>
    </row>
    <row r="80" spans="1:11" ht="22.5" x14ac:dyDescent="0.2">
      <c r="A80" s="7" t="str">
        <f t="shared" si="2"/>
        <v>DOLNI RAKOVETS (BULGARIA)</v>
      </c>
      <c r="B80" s="9" t="s">
        <v>318</v>
      </c>
      <c r="C80" s="26" t="s">
        <v>144</v>
      </c>
      <c r="D80" s="15" t="s">
        <v>309</v>
      </c>
      <c r="E80" s="17" t="s">
        <v>66</v>
      </c>
      <c r="F80" s="34"/>
      <c r="G80" s="15" t="s">
        <v>60</v>
      </c>
      <c r="H80" s="15" t="s">
        <v>45</v>
      </c>
      <c r="I80" s="16">
        <v>1997</v>
      </c>
      <c r="J80" s="15" t="s">
        <v>252</v>
      </c>
      <c r="K80" s="13"/>
    </row>
    <row r="81" spans="1:11" ht="22.5" x14ac:dyDescent="0.2">
      <c r="A81" s="7" t="str">
        <f t="shared" si="2"/>
        <v>LVAKHOVO (BULGARIA)</v>
      </c>
      <c r="B81" s="9" t="s">
        <v>318</v>
      </c>
      <c r="C81" s="26" t="s">
        <v>145</v>
      </c>
      <c r="D81" s="15" t="s">
        <v>308</v>
      </c>
      <c r="E81" s="17" t="s">
        <v>66</v>
      </c>
      <c r="F81" s="34"/>
      <c r="G81" s="15" t="s">
        <v>60</v>
      </c>
      <c r="H81" s="15" t="s">
        <v>84</v>
      </c>
      <c r="I81" s="16">
        <v>760</v>
      </c>
      <c r="J81" s="15" t="s">
        <v>253</v>
      </c>
      <c r="K81" s="13"/>
    </row>
    <row r="82" spans="1:11" ht="22.5" x14ac:dyDescent="0.2">
      <c r="A82" s="7" t="str">
        <f t="shared" si="2"/>
        <v>PLODIV/KRUZOVO (BULGARIA)</v>
      </c>
      <c r="B82" s="9" t="s">
        <v>318</v>
      </c>
      <c r="C82" s="26" t="s">
        <v>146</v>
      </c>
      <c r="D82" s="15" t="s">
        <v>310</v>
      </c>
      <c r="E82" s="15" t="s">
        <v>296</v>
      </c>
      <c r="F82" s="35">
        <v>50</v>
      </c>
      <c r="G82" s="15" t="s">
        <v>147</v>
      </c>
      <c r="H82" s="15" t="s">
        <v>37</v>
      </c>
      <c r="I82" s="16">
        <v>597</v>
      </c>
      <c r="J82" s="15" t="s">
        <v>254</v>
      </c>
      <c r="K82" s="13"/>
    </row>
    <row r="83" spans="1:11" ht="22.5" x14ac:dyDescent="0.2">
      <c r="A83" s="7" t="str">
        <f t="shared" si="2"/>
        <v>UZUNDZHOVO (BULGARIA)</v>
      </c>
      <c r="B83" s="9" t="s">
        <v>318</v>
      </c>
      <c r="C83" s="26" t="s">
        <v>148</v>
      </c>
      <c r="D83" s="15" t="s">
        <v>311</v>
      </c>
      <c r="E83" s="17" t="s">
        <v>66</v>
      </c>
      <c r="F83" s="34"/>
      <c r="G83" s="15" t="s">
        <v>60</v>
      </c>
      <c r="H83" s="15" t="s">
        <v>45</v>
      </c>
      <c r="I83" s="16">
        <v>567</v>
      </c>
      <c r="J83" s="15" t="s">
        <v>255</v>
      </c>
      <c r="K83" s="13"/>
    </row>
    <row r="84" spans="1:11" x14ac:dyDescent="0.25">
      <c r="B84" s="9"/>
      <c r="K84" s="13"/>
    </row>
    <row r="85" spans="1:11" x14ac:dyDescent="0.25">
      <c r="B85" s="9"/>
      <c r="K85" s="13"/>
    </row>
    <row r="86" spans="1:11" x14ac:dyDescent="0.25">
      <c r="B86" s="9"/>
      <c r="K86" s="13"/>
    </row>
    <row r="87" spans="1:11" x14ac:dyDescent="0.25">
      <c r="B87" s="9"/>
      <c r="K87" s="13"/>
    </row>
    <row r="88" spans="1:11" x14ac:dyDescent="0.25">
      <c r="B88" s="9"/>
      <c r="K88" s="13"/>
    </row>
    <row r="89" spans="1:11" x14ac:dyDescent="0.25">
      <c r="B89" s="9"/>
      <c r="K89" s="13"/>
    </row>
    <row r="90" spans="1:11" x14ac:dyDescent="0.25">
      <c r="B90" s="9"/>
      <c r="K90" s="14"/>
    </row>
    <row r="91" spans="1:11" x14ac:dyDescent="0.25">
      <c r="B91" s="9"/>
      <c r="K91" s="14"/>
    </row>
    <row r="92" spans="1:11" x14ac:dyDescent="0.25">
      <c r="B92" s="9"/>
      <c r="K92" s="14"/>
    </row>
    <row r="93" spans="1:11" x14ac:dyDescent="0.25">
      <c r="B93" s="9"/>
      <c r="K93" s="19"/>
    </row>
    <row r="94" spans="1:11" x14ac:dyDescent="0.25">
      <c r="B94" s="9"/>
      <c r="K94" s="19"/>
    </row>
    <row r="95" spans="1:11" x14ac:dyDescent="0.25">
      <c r="B95" s="9"/>
      <c r="K95" s="19"/>
    </row>
    <row r="96" spans="1:11" x14ac:dyDescent="0.25">
      <c r="B96" s="9"/>
      <c r="K96" s="19"/>
    </row>
    <row r="97" spans="2:11" x14ac:dyDescent="0.25">
      <c r="B97" s="9"/>
      <c r="K97" s="19"/>
    </row>
    <row r="98" spans="2:11" x14ac:dyDescent="0.25">
      <c r="B98" s="9"/>
      <c r="K98" s="19"/>
    </row>
    <row r="99" spans="2:11" x14ac:dyDescent="0.25">
      <c r="B99" s="9"/>
      <c r="K99" s="19"/>
    </row>
    <row r="100" spans="2:11" x14ac:dyDescent="0.25">
      <c r="B100" s="9"/>
      <c r="K100" s="19"/>
    </row>
    <row r="101" spans="2:11" x14ac:dyDescent="0.25">
      <c r="B101" s="9"/>
      <c r="K101" s="12"/>
    </row>
    <row r="102" spans="2:11" x14ac:dyDescent="0.25">
      <c r="B102" s="9"/>
      <c r="K102" s="18"/>
    </row>
    <row r="103" spans="2:11" x14ac:dyDescent="0.25">
      <c r="B103" s="9"/>
      <c r="K103" s="15"/>
    </row>
    <row r="104" spans="2:11" x14ac:dyDescent="0.25">
      <c r="B104" s="9"/>
      <c r="K104" s="15"/>
    </row>
    <row r="105" spans="2:11" x14ac:dyDescent="0.25">
      <c r="B105" s="9"/>
      <c r="K105" s="15"/>
    </row>
    <row r="106" spans="2:11" x14ac:dyDescent="0.25">
      <c r="B106" s="9"/>
      <c r="K106" s="15"/>
    </row>
    <row r="107" spans="2:11" x14ac:dyDescent="0.25">
      <c r="B107" s="9"/>
      <c r="K107" s="15"/>
    </row>
    <row r="108" spans="2:11" x14ac:dyDescent="0.25">
      <c r="B108" s="9"/>
      <c r="K108" s="15"/>
    </row>
    <row r="109" spans="2:11" x14ac:dyDescent="0.25">
      <c r="B109" s="9"/>
      <c r="K109" s="15"/>
    </row>
    <row r="110" spans="2:11" x14ac:dyDescent="0.25">
      <c r="B110" s="9"/>
    </row>
    <row r="111" spans="2:11" x14ac:dyDescent="0.25">
      <c r="B111" s="9"/>
    </row>
    <row r="112" spans="2:11" x14ac:dyDescent="0.25">
      <c r="B112" s="9"/>
    </row>
    <row r="113" spans="2:2" x14ac:dyDescent="0.25">
      <c r="B113" s="9"/>
    </row>
    <row r="147" spans="4:10" x14ac:dyDescent="0.25">
      <c r="D147" s="1" t="s">
        <v>33</v>
      </c>
      <c r="E147" s="1" t="s">
        <v>33</v>
      </c>
      <c r="J147" s="1" t="s">
        <v>33</v>
      </c>
    </row>
    <row r="148" spans="4:10" x14ac:dyDescent="0.25">
      <c r="D148" s="1" t="s">
        <v>33</v>
      </c>
      <c r="E148" s="1" t="s">
        <v>33</v>
      </c>
      <c r="J148" s="1" t="s">
        <v>33</v>
      </c>
    </row>
    <row r="149" spans="4:10" x14ac:dyDescent="0.25">
      <c r="D149" s="1" t="s">
        <v>33</v>
      </c>
      <c r="E149" s="1" t="s">
        <v>33</v>
      </c>
      <c r="J149" s="1" t="s">
        <v>33</v>
      </c>
    </row>
    <row r="150" spans="4:10" x14ac:dyDescent="0.25">
      <c r="D150" s="1" t="s">
        <v>33</v>
      </c>
      <c r="E150" s="1" t="s">
        <v>33</v>
      </c>
      <c r="J150" s="1" t="s">
        <v>33</v>
      </c>
    </row>
  </sheetData>
  <sortState ref="A2:J113">
    <sortCondition ref="C2:C11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50"/>
  <sheetViews>
    <sheetView tabSelected="1" topLeftCell="A22" zoomScale="130" zoomScaleNormal="130" workbookViewId="0">
      <selection activeCell="E5" sqref="E4:E5"/>
    </sheetView>
  </sheetViews>
  <sheetFormatPr defaultColWidth="17.42578125" defaultRowHeight="15" x14ac:dyDescent="0.25"/>
  <cols>
    <col min="1" max="1" width="24.140625" style="1" bestFit="1" customWidth="1"/>
    <col min="2" max="2" width="14.85546875" style="1" bestFit="1" customWidth="1"/>
    <col min="3" max="3" width="35.42578125" style="1" bestFit="1" customWidth="1"/>
    <col min="4" max="4" width="7.28515625" style="1" bestFit="1" customWidth="1"/>
    <col min="5" max="5" width="26.42578125" style="1" bestFit="1" customWidth="1"/>
    <col min="6" max="6" width="21" style="1" customWidth="1"/>
    <col min="7" max="7" width="6.42578125" style="1" bestFit="1" customWidth="1"/>
    <col min="8" max="8" width="27" style="1" bestFit="1" customWidth="1"/>
    <col min="9" max="16384" width="17.42578125" style="1"/>
  </cols>
  <sheetData>
    <row r="1" spans="1:8" x14ac:dyDescent="0.25">
      <c r="A1" s="27" t="s">
        <v>1</v>
      </c>
      <c r="B1" s="27" t="s">
        <v>2</v>
      </c>
      <c r="C1" s="27" t="s">
        <v>0</v>
      </c>
      <c r="D1" s="27" t="s">
        <v>58</v>
      </c>
      <c r="E1" s="27" t="s">
        <v>3</v>
      </c>
      <c r="F1" s="27" t="s">
        <v>7</v>
      </c>
      <c r="G1" s="27" t="s">
        <v>4</v>
      </c>
      <c r="H1" s="27" t="s">
        <v>5</v>
      </c>
    </row>
    <row r="2" spans="1:8" x14ac:dyDescent="0.25">
      <c r="A2" s="39" t="s">
        <v>319</v>
      </c>
      <c r="B2" s="39"/>
      <c r="C2" s="39"/>
      <c r="D2" s="39"/>
      <c r="E2" s="39"/>
      <c r="F2" s="39"/>
      <c r="G2" s="39"/>
      <c r="H2" s="39"/>
    </row>
    <row r="3" spans="1:8" ht="58.5" x14ac:dyDescent="0.25">
      <c r="A3" s="40" t="s">
        <v>320</v>
      </c>
      <c r="B3" s="47" t="s">
        <v>390</v>
      </c>
      <c r="C3" s="40" t="s">
        <v>321</v>
      </c>
      <c r="D3" s="40" t="s">
        <v>322</v>
      </c>
      <c r="E3" s="40" t="s">
        <v>473</v>
      </c>
      <c r="F3" s="41" t="s">
        <v>323</v>
      </c>
      <c r="G3" s="40" t="s">
        <v>324</v>
      </c>
      <c r="H3" s="40" t="s">
        <v>391</v>
      </c>
    </row>
    <row r="4" spans="1:8" ht="30" x14ac:dyDescent="0.25">
      <c r="A4" s="42" t="s">
        <v>325</v>
      </c>
      <c r="B4" s="47" t="s">
        <v>392</v>
      </c>
      <c r="C4" s="42" t="s">
        <v>249</v>
      </c>
      <c r="D4" s="43">
        <v>30</v>
      </c>
      <c r="E4" s="42" t="s">
        <v>326</v>
      </c>
      <c r="F4" s="42" t="s">
        <v>327</v>
      </c>
      <c r="G4" s="43">
        <v>30</v>
      </c>
      <c r="H4" s="40" t="s">
        <v>393</v>
      </c>
    </row>
    <row r="5" spans="1:8" ht="30" x14ac:dyDescent="0.25">
      <c r="A5" s="42" t="s">
        <v>328</v>
      </c>
      <c r="B5" s="47" t="s">
        <v>394</v>
      </c>
      <c r="C5" s="42" t="s">
        <v>17</v>
      </c>
      <c r="D5" s="43">
        <v>30</v>
      </c>
      <c r="E5" s="42" t="s">
        <v>329</v>
      </c>
      <c r="F5" s="44" t="s">
        <v>323</v>
      </c>
      <c r="G5" s="43">
        <v>580</v>
      </c>
      <c r="H5" s="40" t="s">
        <v>395</v>
      </c>
    </row>
    <row r="6" spans="1:8" ht="30" x14ac:dyDescent="0.25">
      <c r="A6" s="42" t="s">
        <v>330</v>
      </c>
      <c r="B6" s="47" t="s">
        <v>396</v>
      </c>
      <c r="C6" s="42" t="s">
        <v>331</v>
      </c>
      <c r="D6" s="43">
        <v>25</v>
      </c>
      <c r="E6" s="42" t="s">
        <v>332</v>
      </c>
      <c r="F6" s="44" t="s">
        <v>333</v>
      </c>
      <c r="G6" s="43">
        <v>260</v>
      </c>
      <c r="H6" s="40" t="s">
        <v>397</v>
      </c>
    </row>
    <row r="7" spans="1:8" ht="30" x14ac:dyDescent="0.25">
      <c r="A7" s="42" t="s">
        <v>334</v>
      </c>
      <c r="B7" s="47" t="s">
        <v>398</v>
      </c>
      <c r="C7" s="46" t="s">
        <v>446</v>
      </c>
      <c r="D7" s="46" t="s">
        <v>445</v>
      </c>
      <c r="E7" s="46" t="s">
        <v>447</v>
      </c>
      <c r="F7" s="42" t="s">
        <v>335</v>
      </c>
      <c r="G7" s="43">
        <v>240</v>
      </c>
      <c r="H7" s="40" t="s">
        <v>399</v>
      </c>
    </row>
    <row r="8" spans="1:8" ht="30" x14ac:dyDescent="0.25">
      <c r="A8" s="42" t="s">
        <v>336</v>
      </c>
      <c r="B8" s="47" t="s">
        <v>400</v>
      </c>
      <c r="C8" s="42" t="s">
        <v>337</v>
      </c>
      <c r="D8" s="43">
        <v>25</v>
      </c>
      <c r="E8" s="42" t="s">
        <v>338</v>
      </c>
      <c r="F8" s="44" t="s">
        <v>339</v>
      </c>
      <c r="G8" s="42" t="s">
        <v>340</v>
      </c>
      <c r="H8" s="40" t="s">
        <v>401</v>
      </c>
    </row>
    <row r="9" spans="1:8" ht="30" x14ac:dyDescent="0.25">
      <c r="A9" s="42" t="s">
        <v>341</v>
      </c>
      <c r="B9" s="47" t="s">
        <v>402</v>
      </c>
      <c r="C9" s="42" t="s">
        <v>267</v>
      </c>
      <c r="D9" s="43">
        <v>20</v>
      </c>
      <c r="E9" s="42" t="s">
        <v>342</v>
      </c>
      <c r="F9" s="44" t="s">
        <v>343</v>
      </c>
      <c r="G9" s="42" t="s">
        <v>344</v>
      </c>
      <c r="H9" s="40" t="s">
        <v>403</v>
      </c>
    </row>
    <row r="10" spans="1:8" ht="30" x14ac:dyDescent="0.25">
      <c r="A10" s="42" t="s">
        <v>345</v>
      </c>
      <c r="B10" s="47" t="s">
        <v>404</v>
      </c>
      <c r="C10" s="42" t="s">
        <v>272</v>
      </c>
      <c r="D10" s="43">
        <v>50</v>
      </c>
      <c r="E10" s="42" t="s">
        <v>326</v>
      </c>
      <c r="F10" s="42" t="s">
        <v>346</v>
      </c>
      <c r="G10" s="43">
        <v>30</v>
      </c>
      <c r="H10" s="40" t="s">
        <v>405</v>
      </c>
    </row>
    <row r="11" spans="1:8" ht="43.5" x14ac:dyDescent="0.25">
      <c r="A11" s="40" t="s">
        <v>347</v>
      </c>
      <c r="B11" s="47" t="s">
        <v>406</v>
      </c>
      <c r="C11" s="40" t="s">
        <v>348</v>
      </c>
      <c r="D11" s="40" t="s">
        <v>349</v>
      </c>
      <c r="E11" s="40" t="s">
        <v>350</v>
      </c>
      <c r="F11" s="45" t="s">
        <v>472</v>
      </c>
      <c r="G11" s="40" t="s">
        <v>351</v>
      </c>
      <c r="H11" s="40" t="s">
        <v>407</v>
      </c>
    </row>
    <row r="12" spans="1:8" ht="30" x14ac:dyDescent="0.25">
      <c r="A12" s="42" t="s">
        <v>352</v>
      </c>
      <c r="B12" s="47" t="s">
        <v>408</v>
      </c>
      <c r="C12" s="42" t="s">
        <v>257</v>
      </c>
      <c r="D12" s="43">
        <v>50</v>
      </c>
      <c r="E12" s="42" t="s">
        <v>353</v>
      </c>
      <c r="F12" s="44" t="s">
        <v>354</v>
      </c>
      <c r="G12" s="42" t="s">
        <v>355</v>
      </c>
      <c r="H12" s="40" t="s">
        <v>409</v>
      </c>
    </row>
    <row r="13" spans="1:8" ht="30" x14ac:dyDescent="0.25">
      <c r="A13" s="42" t="s">
        <v>356</v>
      </c>
      <c r="B13" s="47" t="s">
        <v>410</v>
      </c>
      <c r="C13" s="46" t="s">
        <v>446</v>
      </c>
      <c r="D13" s="46" t="s">
        <v>448</v>
      </c>
      <c r="E13" s="46" t="s">
        <v>449</v>
      </c>
      <c r="F13" s="42" t="s">
        <v>357</v>
      </c>
      <c r="G13" s="43">
        <v>450</v>
      </c>
      <c r="H13" s="40" t="s">
        <v>411</v>
      </c>
    </row>
    <row r="14" spans="1:8" ht="30" x14ac:dyDescent="0.25">
      <c r="A14" s="42" t="s">
        <v>358</v>
      </c>
      <c r="B14" s="47" t="s">
        <v>412</v>
      </c>
      <c r="C14" s="42" t="s">
        <v>264</v>
      </c>
      <c r="D14" s="43">
        <v>25</v>
      </c>
      <c r="E14" s="42" t="s">
        <v>359</v>
      </c>
      <c r="F14" s="42" t="s">
        <v>360</v>
      </c>
      <c r="G14" s="43">
        <v>40</v>
      </c>
      <c r="H14" s="40" t="s">
        <v>413</v>
      </c>
    </row>
    <row r="15" spans="1:8" ht="30" x14ac:dyDescent="0.25">
      <c r="A15" s="42" t="s">
        <v>361</v>
      </c>
      <c r="B15" s="47" t="s">
        <v>414</v>
      </c>
      <c r="C15" s="42" t="s">
        <v>362</v>
      </c>
      <c r="D15" s="43">
        <v>25</v>
      </c>
      <c r="E15" s="42" t="s">
        <v>363</v>
      </c>
      <c r="F15" s="42" t="s">
        <v>364</v>
      </c>
      <c r="G15" s="43">
        <v>180</v>
      </c>
      <c r="H15" s="40" t="s">
        <v>415</v>
      </c>
    </row>
    <row r="16" spans="1:8" ht="30" x14ac:dyDescent="0.25">
      <c r="A16" s="42" t="s">
        <v>365</v>
      </c>
      <c r="B16" s="47" t="s">
        <v>416</v>
      </c>
      <c r="C16" s="42" t="s">
        <v>366</v>
      </c>
      <c r="D16" s="43">
        <v>40</v>
      </c>
      <c r="E16" s="42" t="s">
        <v>367</v>
      </c>
      <c r="F16" s="42" t="s">
        <v>357</v>
      </c>
      <c r="G16" s="43">
        <v>220</v>
      </c>
      <c r="H16" s="40" t="s">
        <v>417</v>
      </c>
    </row>
    <row r="17" spans="1:8" x14ac:dyDescent="0.25">
      <c r="A17" s="39" t="s">
        <v>368</v>
      </c>
      <c r="B17" s="48" t="s">
        <v>418</v>
      </c>
      <c r="C17" s="39"/>
      <c r="D17" s="39"/>
      <c r="E17" s="39"/>
      <c r="F17" s="39"/>
      <c r="G17" s="39"/>
      <c r="H17" s="39"/>
    </row>
    <row r="18" spans="1:8" ht="30" x14ac:dyDescent="0.25">
      <c r="A18" s="42" t="s">
        <v>369</v>
      </c>
      <c r="B18" s="47" t="s">
        <v>419</v>
      </c>
      <c r="C18" s="42" t="s">
        <v>294</v>
      </c>
      <c r="D18" s="42">
        <v>200</v>
      </c>
      <c r="E18" s="42" t="s">
        <v>370</v>
      </c>
      <c r="F18" s="42" t="s">
        <v>371</v>
      </c>
      <c r="G18" s="43">
        <v>60</v>
      </c>
      <c r="H18" s="40" t="s">
        <v>420</v>
      </c>
    </row>
    <row r="19" spans="1:8" x14ac:dyDescent="0.25">
      <c r="A19" s="39" t="s">
        <v>372</v>
      </c>
      <c r="B19" s="48" t="s">
        <v>418</v>
      </c>
      <c r="C19" s="39"/>
      <c r="D19" s="39"/>
      <c r="E19" s="39"/>
      <c r="F19" s="39"/>
      <c r="G19" s="39"/>
      <c r="H19" s="39"/>
    </row>
    <row r="20" spans="1:8" ht="30" x14ac:dyDescent="0.25">
      <c r="A20" s="42" t="s">
        <v>373</v>
      </c>
      <c r="B20" s="47" t="s">
        <v>421</v>
      </c>
      <c r="C20" s="46" t="s">
        <v>466</v>
      </c>
      <c r="D20" s="46" t="s">
        <v>450</v>
      </c>
      <c r="E20" s="46" t="s">
        <v>458</v>
      </c>
      <c r="F20" s="42" t="s">
        <v>327</v>
      </c>
      <c r="G20" s="43">
        <v>150</v>
      </c>
      <c r="H20" s="40" t="s">
        <v>422</v>
      </c>
    </row>
    <row r="21" spans="1:8" ht="30" x14ac:dyDescent="0.25">
      <c r="A21" s="42" t="s">
        <v>374</v>
      </c>
      <c r="B21" s="47" t="s">
        <v>423</v>
      </c>
      <c r="C21" s="46" t="s">
        <v>467</v>
      </c>
      <c r="D21" s="46" t="s">
        <v>451</v>
      </c>
      <c r="E21" s="46" t="s">
        <v>459</v>
      </c>
      <c r="F21" s="42" t="s">
        <v>375</v>
      </c>
      <c r="G21" s="43">
        <v>70</v>
      </c>
      <c r="H21" s="40" t="s">
        <v>424</v>
      </c>
    </row>
    <row r="22" spans="1:8" ht="30" x14ac:dyDescent="0.25">
      <c r="A22" s="42" t="s">
        <v>376</v>
      </c>
      <c r="B22" s="47" t="s">
        <v>425</v>
      </c>
      <c r="C22" s="46" t="s">
        <v>467</v>
      </c>
      <c r="D22" s="46" t="s">
        <v>452</v>
      </c>
      <c r="E22" s="46" t="s">
        <v>460</v>
      </c>
      <c r="F22" s="44" t="s">
        <v>339</v>
      </c>
      <c r="G22" s="43">
        <v>10</v>
      </c>
      <c r="H22" s="40" t="s">
        <v>426</v>
      </c>
    </row>
    <row r="23" spans="1:8" ht="30" x14ac:dyDescent="0.25">
      <c r="A23" s="42" t="s">
        <v>377</v>
      </c>
      <c r="B23" s="47" t="s">
        <v>427</v>
      </c>
      <c r="C23" s="46" t="s">
        <v>467</v>
      </c>
      <c r="D23" s="46" t="s">
        <v>453</v>
      </c>
      <c r="E23" s="46" t="s">
        <v>461</v>
      </c>
      <c r="F23" s="42" t="s">
        <v>378</v>
      </c>
      <c r="G23" s="43">
        <v>20</v>
      </c>
      <c r="H23" s="40" t="s">
        <v>428</v>
      </c>
    </row>
    <row r="24" spans="1:8" ht="30" x14ac:dyDescent="0.25">
      <c r="A24" s="42" t="s">
        <v>379</v>
      </c>
      <c r="B24" s="47" t="s">
        <v>429</v>
      </c>
      <c r="C24" s="46" t="s">
        <v>386</v>
      </c>
      <c r="D24" s="46" t="s">
        <v>454</v>
      </c>
      <c r="E24" s="46" t="s">
        <v>462</v>
      </c>
      <c r="F24" s="42" t="s">
        <v>360</v>
      </c>
      <c r="G24" s="43">
        <v>540</v>
      </c>
      <c r="H24" s="40" t="s">
        <v>430</v>
      </c>
    </row>
    <row r="25" spans="1:8" ht="30" x14ac:dyDescent="0.25">
      <c r="A25" s="42" t="s">
        <v>380</v>
      </c>
      <c r="B25" s="47" t="s">
        <v>431</v>
      </c>
      <c r="C25" s="46" t="s">
        <v>467</v>
      </c>
      <c r="D25" s="46" t="s">
        <v>452</v>
      </c>
      <c r="E25" s="46" t="s">
        <v>463</v>
      </c>
      <c r="F25" s="42" t="s">
        <v>360</v>
      </c>
      <c r="G25" s="43">
        <v>0</v>
      </c>
      <c r="H25" s="40" t="s">
        <v>432</v>
      </c>
    </row>
    <row r="26" spans="1:8" ht="30" x14ac:dyDescent="0.25">
      <c r="A26" s="42" t="s">
        <v>381</v>
      </c>
      <c r="B26" s="47" t="s">
        <v>433</v>
      </c>
      <c r="C26" s="46" t="s">
        <v>467</v>
      </c>
      <c r="D26" s="46" t="s">
        <v>455</v>
      </c>
      <c r="E26" s="46" t="s">
        <v>460</v>
      </c>
      <c r="F26" s="42" t="s">
        <v>382</v>
      </c>
      <c r="G26" s="43">
        <v>20</v>
      </c>
      <c r="H26" s="40" t="s">
        <v>434</v>
      </c>
    </row>
    <row r="27" spans="1:8" ht="30" x14ac:dyDescent="0.25">
      <c r="A27" s="42" t="s">
        <v>383</v>
      </c>
      <c r="B27" s="47" t="s">
        <v>435</v>
      </c>
      <c r="C27" s="46" t="s">
        <v>467</v>
      </c>
      <c r="D27" s="46" t="s">
        <v>456</v>
      </c>
      <c r="E27" s="46" t="s">
        <v>464</v>
      </c>
      <c r="F27" s="44" t="s">
        <v>343</v>
      </c>
      <c r="G27" s="43">
        <v>40</v>
      </c>
      <c r="H27" s="40" t="s">
        <v>436</v>
      </c>
    </row>
    <row r="28" spans="1:8" ht="30" x14ac:dyDescent="0.25">
      <c r="A28" s="42" t="s">
        <v>384</v>
      </c>
      <c r="B28" s="47" t="s">
        <v>437</v>
      </c>
      <c r="C28" s="46" t="s">
        <v>467</v>
      </c>
      <c r="D28" s="46" t="s">
        <v>457</v>
      </c>
      <c r="E28" s="46" t="s">
        <v>465</v>
      </c>
      <c r="F28" s="42" t="s">
        <v>378</v>
      </c>
      <c r="G28" s="43">
        <v>0</v>
      </c>
      <c r="H28" s="40" t="s">
        <v>438</v>
      </c>
    </row>
    <row r="29" spans="1:8" ht="30" x14ac:dyDescent="0.25">
      <c r="A29" s="42" t="s">
        <v>385</v>
      </c>
      <c r="B29" s="47" t="s">
        <v>439</v>
      </c>
      <c r="C29" s="42" t="s">
        <v>386</v>
      </c>
      <c r="D29" s="42">
        <v>200</v>
      </c>
      <c r="E29" s="42" t="s">
        <v>387</v>
      </c>
      <c r="F29" s="42" t="s">
        <v>371</v>
      </c>
      <c r="G29" s="43">
        <v>690</v>
      </c>
      <c r="H29" s="40" t="s">
        <v>440</v>
      </c>
    </row>
    <row r="30" spans="1:8" ht="30" x14ac:dyDescent="0.25">
      <c r="A30" s="42" t="s">
        <v>388</v>
      </c>
      <c r="B30" s="47" t="s">
        <v>441</v>
      </c>
      <c r="C30" s="46" t="s">
        <v>467</v>
      </c>
      <c r="D30" s="46" t="s">
        <v>468</v>
      </c>
      <c r="E30" s="46" t="s">
        <v>470</v>
      </c>
      <c r="F30" s="42" t="s">
        <v>360</v>
      </c>
      <c r="G30" s="43">
        <v>10</v>
      </c>
      <c r="H30" s="40" t="s">
        <v>442</v>
      </c>
    </row>
    <row r="31" spans="1:8" ht="30" x14ac:dyDescent="0.25">
      <c r="A31" s="42" t="s">
        <v>389</v>
      </c>
      <c r="B31" s="47" t="s">
        <v>443</v>
      </c>
      <c r="C31" s="46" t="s">
        <v>160</v>
      </c>
      <c r="D31" s="46" t="s">
        <v>469</v>
      </c>
      <c r="E31" s="46" t="s">
        <v>471</v>
      </c>
      <c r="F31" s="42" t="s">
        <v>375</v>
      </c>
      <c r="G31" s="43">
        <v>70</v>
      </c>
      <c r="H31" s="40" t="s">
        <v>444</v>
      </c>
    </row>
    <row r="32" spans="1:8" x14ac:dyDescent="0.25">
      <c r="A32" s="27"/>
      <c r="B32" s="19" t="s">
        <v>33</v>
      </c>
      <c r="C32" s="24"/>
      <c r="D32" s="36"/>
      <c r="E32" s="19"/>
      <c r="F32" s="19"/>
      <c r="G32" s="30"/>
      <c r="H32" s="19" t="s">
        <v>33</v>
      </c>
    </row>
    <row r="33" spans="1:8" x14ac:dyDescent="0.25">
      <c r="A33" s="27"/>
      <c r="B33" s="19" t="s">
        <v>33</v>
      </c>
      <c r="C33" s="19"/>
      <c r="D33" s="20"/>
      <c r="E33" s="19"/>
      <c r="F33" s="19"/>
      <c r="G33" s="20"/>
      <c r="H33" s="19" t="s">
        <v>33</v>
      </c>
    </row>
    <row r="34" spans="1:8" x14ac:dyDescent="0.25">
      <c r="A34" s="27"/>
      <c r="B34" s="27" t="s">
        <v>33</v>
      </c>
      <c r="C34" s="27"/>
      <c r="D34" s="27"/>
      <c r="E34" s="27"/>
      <c r="F34" s="27"/>
      <c r="G34" s="27"/>
      <c r="H34" s="27" t="s">
        <v>33</v>
      </c>
    </row>
    <row r="35" spans="1:8" x14ac:dyDescent="0.25">
      <c r="A35" s="27"/>
      <c r="B35" s="19" t="s">
        <v>33</v>
      </c>
      <c r="C35" s="24"/>
      <c r="D35" s="36"/>
      <c r="E35" s="19"/>
      <c r="F35" s="19"/>
      <c r="G35" s="20"/>
      <c r="H35" s="19" t="s">
        <v>33</v>
      </c>
    </row>
    <row r="36" spans="1:8" x14ac:dyDescent="0.25">
      <c r="A36" s="27"/>
      <c r="B36" s="19" t="s">
        <v>33</v>
      </c>
      <c r="C36" s="19"/>
      <c r="D36" s="30"/>
      <c r="E36" s="19"/>
      <c r="F36" s="19"/>
      <c r="G36" s="20"/>
      <c r="H36" s="19" t="s">
        <v>33</v>
      </c>
    </row>
    <row r="37" spans="1:8" x14ac:dyDescent="0.25">
      <c r="A37" s="27"/>
      <c r="B37" s="19" t="s">
        <v>33</v>
      </c>
      <c r="C37" s="24"/>
      <c r="D37" s="36"/>
      <c r="E37" s="19"/>
      <c r="F37" s="19"/>
      <c r="G37" s="20"/>
      <c r="H37" s="19" t="s">
        <v>33</v>
      </c>
    </row>
    <row r="38" spans="1:8" x14ac:dyDescent="0.25">
      <c r="A38" s="27"/>
      <c r="B38" s="19" t="s">
        <v>33</v>
      </c>
      <c r="C38" s="19"/>
      <c r="D38" s="30"/>
      <c r="E38" s="19"/>
      <c r="F38" s="19"/>
      <c r="G38" s="20"/>
      <c r="H38" s="19" t="s">
        <v>33</v>
      </c>
    </row>
    <row r="39" spans="1:8" x14ac:dyDescent="0.25">
      <c r="A39" s="27"/>
      <c r="B39" s="22" t="s">
        <v>33</v>
      </c>
      <c r="C39" s="22"/>
      <c r="D39" s="31"/>
      <c r="E39" s="22"/>
      <c r="F39" s="19"/>
      <c r="G39" s="23"/>
      <c r="H39" s="19" t="s">
        <v>33</v>
      </c>
    </row>
    <row r="40" spans="1:8" x14ac:dyDescent="0.25">
      <c r="A40" s="27"/>
      <c r="B40" s="19" t="s">
        <v>33</v>
      </c>
      <c r="C40" s="19"/>
      <c r="D40" s="30"/>
      <c r="E40" s="19"/>
      <c r="F40" s="19"/>
      <c r="G40" s="20"/>
      <c r="H40" s="19" t="s">
        <v>33</v>
      </c>
    </row>
    <row r="41" spans="1:8" x14ac:dyDescent="0.25">
      <c r="A41" s="27"/>
      <c r="B41" s="19" t="s">
        <v>33</v>
      </c>
      <c r="C41" s="24"/>
      <c r="D41" s="36"/>
      <c r="E41" s="19"/>
      <c r="F41" s="19"/>
      <c r="G41" s="20"/>
      <c r="H41" s="19" t="s">
        <v>33</v>
      </c>
    </row>
    <row r="42" spans="1:8" x14ac:dyDescent="0.25">
      <c r="A42" s="27"/>
      <c r="B42" s="19" t="s">
        <v>33</v>
      </c>
      <c r="C42" s="19"/>
      <c r="D42" s="20"/>
      <c r="E42" s="19"/>
      <c r="F42" s="19"/>
      <c r="G42" s="20"/>
      <c r="H42" s="19" t="s">
        <v>33</v>
      </c>
    </row>
    <row r="43" spans="1:8" x14ac:dyDescent="0.25">
      <c r="A43" s="27"/>
      <c r="B43" s="19" t="s">
        <v>33</v>
      </c>
      <c r="C43" s="19"/>
      <c r="D43" s="30"/>
      <c r="E43" s="19"/>
      <c r="F43" s="19"/>
      <c r="G43" s="20"/>
      <c r="H43" s="19" t="s">
        <v>33</v>
      </c>
    </row>
    <row r="44" spans="1:8" x14ac:dyDescent="0.25">
      <c r="A44" s="27"/>
      <c r="B44" s="19" t="s">
        <v>33</v>
      </c>
      <c r="C44" s="19"/>
      <c r="D44" s="30"/>
      <c r="E44" s="19"/>
      <c r="F44" s="19"/>
      <c r="G44" s="20"/>
      <c r="H44" s="19" t="s">
        <v>33</v>
      </c>
    </row>
    <row r="45" spans="1:8" x14ac:dyDescent="0.25">
      <c r="A45" s="27"/>
      <c r="B45" s="19" t="s">
        <v>33</v>
      </c>
      <c r="C45" s="19"/>
      <c r="D45" s="30"/>
      <c r="E45" s="19"/>
      <c r="F45" s="19"/>
      <c r="G45" s="20"/>
      <c r="H45" s="19" t="s">
        <v>33</v>
      </c>
    </row>
    <row r="46" spans="1:8" x14ac:dyDescent="0.25">
      <c r="A46" s="27"/>
      <c r="B46" s="19" t="s">
        <v>33</v>
      </c>
      <c r="C46" s="24"/>
      <c r="D46" s="36"/>
      <c r="E46" s="19"/>
      <c r="F46" s="19"/>
      <c r="G46" s="20"/>
      <c r="H46" s="19" t="s">
        <v>33</v>
      </c>
    </row>
    <row r="47" spans="1:8" x14ac:dyDescent="0.25">
      <c r="A47" s="27"/>
      <c r="B47" s="19" t="s">
        <v>33</v>
      </c>
      <c r="C47" s="19"/>
      <c r="D47" s="30"/>
      <c r="E47" s="19"/>
      <c r="F47" s="19"/>
      <c r="G47" s="20"/>
      <c r="H47" s="19" t="s">
        <v>33</v>
      </c>
    </row>
    <row r="48" spans="1:8" x14ac:dyDescent="0.25">
      <c r="A48" s="27"/>
      <c r="B48" s="19" t="s">
        <v>33</v>
      </c>
      <c r="C48" s="19"/>
      <c r="D48" s="30"/>
      <c r="E48" s="19"/>
      <c r="F48" s="19"/>
      <c r="G48" s="20"/>
      <c r="H48" s="19" t="s">
        <v>33</v>
      </c>
    </row>
    <row r="49" spans="1:8" x14ac:dyDescent="0.25">
      <c r="A49" s="27"/>
      <c r="B49" s="19" t="s">
        <v>33</v>
      </c>
      <c r="C49" s="24"/>
      <c r="D49" s="36"/>
      <c r="E49" s="19"/>
      <c r="F49" s="19"/>
      <c r="G49" s="20"/>
      <c r="H49" s="19" t="s">
        <v>33</v>
      </c>
    </row>
    <row r="50" spans="1:8" x14ac:dyDescent="0.25">
      <c r="A50" s="27"/>
      <c r="B50" s="19" t="s">
        <v>33</v>
      </c>
      <c r="C50" s="19"/>
      <c r="D50" s="30"/>
      <c r="E50" s="19"/>
      <c r="F50" s="19"/>
      <c r="G50" s="20"/>
      <c r="H50" s="19" t="s">
        <v>33</v>
      </c>
    </row>
    <row r="51" spans="1:8" x14ac:dyDescent="0.25">
      <c r="A51" s="27"/>
      <c r="B51" s="19" t="s">
        <v>33</v>
      </c>
      <c r="C51" s="24"/>
      <c r="D51" s="36"/>
      <c r="E51" s="19"/>
      <c r="F51" s="19"/>
      <c r="G51" s="20"/>
      <c r="H51" s="19" t="s">
        <v>33</v>
      </c>
    </row>
    <row r="52" spans="1:8" x14ac:dyDescent="0.25">
      <c r="A52" s="27"/>
      <c r="B52" s="19" t="s">
        <v>33</v>
      </c>
      <c r="C52" s="19"/>
      <c r="D52" s="30"/>
      <c r="E52" s="19"/>
      <c r="F52" s="19"/>
      <c r="G52" s="20"/>
      <c r="H52" s="19" t="s">
        <v>33</v>
      </c>
    </row>
    <row r="53" spans="1:8" x14ac:dyDescent="0.25">
      <c r="A53" s="27"/>
      <c r="B53" s="19" t="s">
        <v>33</v>
      </c>
      <c r="C53" s="24"/>
      <c r="D53" s="36"/>
      <c r="E53" s="19"/>
      <c r="F53" s="19"/>
      <c r="G53" s="20"/>
      <c r="H53" s="19" t="s">
        <v>33</v>
      </c>
    </row>
    <row r="54" spans="1:8" x14ac:dyDescent="0.25">
      <c r="A54" s="27"/>
      <c r="B54" s="19" t="s">
        <v>33</v>
      </c>
      <c r="C54" s="24"/>
      <c r="D54" s="36"/>
      <c r="E54" s="19"/>
      <c r="F54" s="19"/>
      <c r="G54" s="20"/>
      <c r="H54" s="19" t="s">
        <v>33</v>
      </c>
    </row>
    <row r="55" spans="1:8" x14ac:dyDescent="0.25">
      <c r="A55" s="27"/>
      <c r="B55" s="19" t="s">
        <v>33</v>
      </c>
      <c r="C55" s="24"/>
      <c r="D55" s="36"/>
      <c r="E55" s="19"/>
      <c r="F55" s="19"/>
      <c r="G55" s="20"/>
      <c r="H55" s="19" t="s">
        <v>33</v>
      </c>
    </row>
    <row r="56" spans="1:8" x14ac:dyDescent="0.25">
      <c r="A56" s="27"/>
      <c r="B56" s="32" t="s">
        <v>33</v>
      </c>
      <c r="C56" s="19"/>
      <c r="D56" s="30"/>
      <c r="E56" s="19"/>
      <c r="F56" s="19"/>
      <c r="G56" s="20"/>
      <c r="H56" s="19" t="s">
        <v>33</v>
      </c>
    </row>
    <row r="57" spans="1:8" x14ac:dyDescent="0.25">
      <c r="A57" s="27"/>
      <c r="B57" s="19" t="s">
        <v>33</v>
      </c>
      <c r="C57" s="19"/>
      <c r="D57" s="30"/>
      <c r="E57" s="19"/>
      <c r="F57" s="19"/>
      <c r="G57" s="20"/>
      <c r="H57" s="19" t="s">
        <v>33</v>
      </c>
    </row>
    <row r="58" spans="1:8" x14ac:dyDescent="0.25">
      <c r="A58" s="27"/>
      <c r="B58" s="19" t="s">
        <v>33</v>
      </c>
      <c r="C58" s="19"/>
      <c r="D58" s="30"/>
      <c r="E58" s="19"/>
      <c r="F58" s="19"/>
      <c r="G58" s="20"/>
      <c r="H58" s="19" t="s">
        <v>33</v>
      </c>
    </row>
    <row r="59" spans="1:8" x14ac:dyDescent="0.25">
      <c r="A59" s="27"/>
      <c r="B59" s="19" t="s">
        <v>33</v>
      </c>
      <c r="C59" s="24"/>
      <c r="D59" s="36"/>
      <c r="E59" s="19"/>
      <c r="F59" s="19"/>
      <c r="G59" s="20"/>
      <c r="H59" s="19" t="s">
        <v>33</v>
      </c>
    </row>
    <row r="60" spans="1:8" x14ac:dyDescent="0.25">
      <c r="A60" s="27"/>
      <c r="B60" s="19" t="s">
        <v>33</v>
      </c>
      <c r="C60" s="19"/>
      <c r="D60" s="30"/>
      <c r="E60" s="19"/>
      <c r="F60" s="19"/>
      <c r="G60" s="20"/>
      <c r="H60" s="19" t="s">
        <v>33</v>
      </c>
    </row>
    <row r="61" spans="1:8" x14ac:dyDescent="0.25">
      <c r="A61" s="27"/>
      <c r="B61" s="19" t="s">
        <v>33</v>
      </c>
      <c r="C61" s="24"/>
      <c r="D61" s="36"/>
      <c r="E61" s="19"/>
      <c r="F61" s="19"/>
      <c r="G61" s="20"/>
      <c r="H61" s="19" t="s">
        <v>33</v>
      </c>
    </row>
    <row r="62" spans="1:8" x14ac:dyDescent="0.25">
      <c r="A62" s="27"/>
      <c r="B62" s="19" t="s">
        <v>33</v>
      </c>
      <c r="C62" s="19"/>
      <c r="D62" s="30"/>
      <c r="E62" s="19"/>
      <c r="F62" s="19"/>
      <c r="G62" s="20"/>
      <c r="H62" s="19" t="s">
        <v>33</v>
      </c>
    </row>
    <row r="63" spans="1:8" x14ac:dyDescent="0.25">
      <c r="A63" s="27"/>
      <c r="B63" s="19" t="s">
        <v>33</v>
      </c>
      <c r="C63" s="19"/>
      <c r="D63" s="20"/>
      <c r="E63" s="19"/>
      <c r="F63" s="19"/>
      <c r="G63" s="20"/>
      <c r="H63" s="19" t="s">
        <v>33</v>
      </c>
    </row>
    <row r="64" spans="1:8" x14ac:dyDescent="0.25">
      <c r="A64" s="27"/>
      <c r="B64" s="19" t="s">
        <v>33</v>
      </c>
      <c r="C64" s="24"/>
      <c r="D64" s="36"/>
      <c r="E64" s="19"/>
      <c r="F64" s="19"/>
      <c r="G64" s="20"/>
      <c r="H64" s="19" t="s">
        <v>33</v>
      </c>
    </row>
    <row r="65" spans="1:8" x14ac:dyDescent="0.25">
      <c r="A65" s="27"/>
      <c r="B65" s="19" t="s">
        <v>33</v>
      </c>
      <c r="C65" s="19"/>
      <c r="D65" s="30"/>
      <c r="E65" s="19"/>
      <c r="F65" s="19"/>
      <c r="G65" s="20"/>
      <c r="H65" s="19" t="s">
        <v>33</v>
      </c>
    </row>
    <row r="66" spans="1:8" x14ac:dyDescent="0.25">
      <c r="A66" s="28"/>
      <c r="B66" s="22" t="s">
        <v>33</v>
      </c>
      <c r="C66" s="22"/>
      <c r="D66" s="23"/>
      <c r="E66" s="19"/>
      <c r="F66" s="22"/>
      <c r="G66" s="23"/>
      <c r="H66" s="19" t="s">
        <v>33</v>
      </c>
    </row>
    <row r="67" spans="1:8" x14ac:dyDescent="0.25">
      <c r="A67" s="27"/>
      <c r="B67" s="19" t="s">
        <v>33</v>
      </c>
      <c r="C67" s="24"/>
      <c r="D67" s="36"/>
      <c r="E67" s="19"/>
      <c r="F67" s="19"/>
      <c r="G67" s="20"/>
      <c r="H67" s="19" t="s">
        <v>33</v>
      </c>
    </row>
    <row r="68" spans="1:8" x14ac:dyDescent="0.25">
      <c r="A68" s="27"/>
      <c r="B68" s="19" t="s">
        <v>33</v>
      </c>
      <c r="C68" s="24"/>
      <c r="D68" s="36"/>
      <c r="E68" s="19"/>
      <c r="F68" s="19"/>
      <c r="G68" s="20"/>
      <c r="H68" s="19" t="s">
        <v>33</v>
      </c>
    </row>
    <row r="69" spans="1:8" x14ac:dyDescent="0.25">
      <c r="A69" s="27"/>
      <c r="B69" s="19" t="s">
        <v>33</v>
      </c>
      <c r="C69" s="19"/>
      <c r="D69" s="30"/>
      <c r="E69" s="19"/>
      <c r="F69" s="19"/>
      <c r="G69" s="20"/>
      <c r="H69" s="19" t="s">
        <v>33</v>
      </c>
    </row>
    <row r="70" spans="1:8" x14ac:dyDescent="0.25">
      <c r="A70" s="27"/>
      <c r="B70" s="19" t="s">
        <v>33</v>
      </c>
      <c r="C70" s="24"/>
      <c r="D70" s="36"/>
      <c r="E70" s="19"/>
      <c r="F70" s="19"/>
      <c r="G70" s="20"/>
      <c r="H70" s="19" t="s">
        <v>33</v>
      </c>
    </row>
    <row r="71" spans="1:8" x14ac:dyDescent="0.25">
      <c r="A71" s="27"/>
      <c r="B71" s="19" t="s">
        <v>33</v>
      </c>
      <c r="C71" s="19"/>
      <c r="D71" s="20"/>
      <c r="E71" s="19"/>
      <c r="F71" s="19"/>
      <c r="G71" s="20"/>
      <c r="H71" s="19" t="s">
        <v>33</v>
      </c>
    </row>
    <row r="72" spans="1:8" x14ac:dyDescent="0.25">
      <c r="A72" s="27"/>
      <c r="B72" s="19" t="s">
        <v>33</v>
      </c>
      <c r="C72" s="19"/>
      <c r="D72" s="30"/>
      <c r="E72" s="19"/>
      <c r="F72" s="19"/>
      <c r="G72" s="20"/>
      <c r="H72" s="19" t="s">
        <v>33</v>
      </c>
    </row>
    <row r="73" spans="1:8" x14ac:dyDescent="0.25">
      <c r="A73" s="27"/>
      <c r="B73" s="19" t="s">
        <v>33</v>
      </c>
      <c r="C73" s="19"/>
      <c r="D73" s="30"/>
      <c r="E73" s="19"/>
      <c r="F73" s="19"/>
      <c r="G73" s="30"/>
      <c r="H73" s="19" t="s">
        <v>33</v>
      </c>
    </row>
    <row r="74" spans="1:8" x14ac:dyDescent="0.25">
      <c r="A74" s="28"/>
      <c r="B74" s="22" t="s">
        <v>33</v>
      </c>
      <c r="C74" s="22"/>
      <c r="D74" s="23"/>
      <c r="E74" s="19"/>
      <c r="F74" s="19"/>
      <c r="G74" s="23"/>
      <c r="H74" s="19" t="s">
        <v>33</v>
      </c>
    </row>
    <row r="75" spans="1:8" x14ac:dyDescent="0.25">
      <c r="A75" s="27"/>
      <c r="B75" s="19" t="s">
        <v>33</v>
      </c>
      <c r="C75" s="19"/>
      <c r="D75" s="20"/>
      <c r="E75" s="19"/>
      <c r="F75" s="19"/>
      <c r="G75" s="20"/>
      <c r="H75" s="19" t="s">
        <v>33</v>
      </c>
    </row>
    <row r="76" spans="1:8" x14ac:dyDescent="0.25">
      <c r="A76" s="27"/>
      <c r="B76" s="19" t="s">
        <v>33</v>
      </c>
      <c r="C76" s="19"/>
      <c r="D76" s="20"/>
      <c r="E76" s="19"/>
      <c r="F76" s="19"/>
      <c r="G76" s="20"/>
      <c r="H76" s="19" t="s">
        <v>33</v>
      </c>
    </row>
    <row r="77" spans="1:8" x14ac:dyDescent="0.25">
      <c r="A77" s="27"/>
      <c r="B77" s="21" t="s">
        <v>33</v>
      </c>
      <c r="C77" s="33"/>
      <c r="D77" s="20"/>
      <c r="E77" s="21"/>
      <c r="F77" s="19"/>
      <c r="G77" s="20"/>
      <c r="H77" s="19" t="s">
        <v>33</v>
      </c>
    </row>
    <row r="78" spans="1:8" x14ac:dyDescent="0.25">
      <c r="A78" s="26"/>
      <c r="B78" s="15"/>
      <c r="C78" s="17"/>
      <c r="D78" s="34"/>
      <c r="E78" s="15"/>
      <c r="F78" s="15"/>
      <c r="G78" s="16"/>
      <c r="H78" s="15"/>
    </row>
    <row r="79" spans="1:8" x14ac:dyDescent="0.25">
      <c r="A79" s="26"/>
      <c r="B79" s="15"/>
      <c r="C79" s="17"/>
      <c r="D79" s="16"/>
      <c r="E79" s="15"/>
      <c r="F79" s="15"/>
      <c r="G79" s="16"/>
      <c r="H79" s="15"/>
    </row>
    <row r="80" spans="1:8" x14ac:dyDescent="0.25">
      <c r="A80" s="26"/>
      <c r="B80" s="15"/>
      <c r="C80" s="17"/>
      <c r="D80" s="34"/>
      <c r="E80" s="15"/>
      <c r="F80" s="15"/>
      <c r="G80" s="16"/>
      <c r="H80" s="15"/>
    </row>
    <row r="81" spans="1:8" x14ac:dyDescent="0.25">
      <c r="A81" s="26"/>
      <c r="B81" s="15"/>
      <c r="C81" s="17"/>
      <c r="D81" s="34"/>
      <c r="E81" s="15"/>
      <c r="F81" s="15"/>
      <c r="G81" s="16"/>
      <c r="H81" s="15"/>
    </row>
    <row r="82" spans="1:8" x14ac:dyDescent="0.25">
      <c r="A82" s="26"/>
      <c r="B82" s="15"/>
      <c r="C82" s="17"/>
      <c r="D82" s="34"/>
      <c r="E82" s="15"/>
      <c r="F82" s="15"/>
      <c r="G82" s="16"/>
      <c r="H82" s="15"/>
    </row>
    <row r="83" spans="1:8" x14ac:dyDescent="0.25">
      <c r="A83" s="26"/>
      <c r="B83" s="15"/>
      <c r="C83" s="15"/>
      <c r="D83" s="35"/>
      <c r="E83" s="15"/>
      <c r="F83" s="15"/>
      <c r="G83" s="16"/>
      <c r="H83" s="15"/>
    </row>
    <row r="84" spans="1:8" x14ac:dyDescent="0.25">
      <c r="A84" s="26"/>
      <c r="B84" s="15"/>
      <c r="C84" s="17"/>
      <c r="D84" s="34"/>
      <c r="E84" s="15"/>
      <c r="F84" s="15"/>
      <c r="G84" s="16"/>
      <c r="H84" s="15"/>
    </row>
    <row r="85" spans="1:8" x14ac:dyDescent="0.25">
      <c r="B85" s="1" t="s">
        <v>33</v>
      </c>
      <c r="H85" s="1" t="s">
        <v>33</v>
      </c>
    </row>
    <row r="86" spans="1:8" x14ac:dyDescent="0.25">
      <c r="B86" s="1" t="s">
        <v>33</v>
      </c>
      <c r="H86" s="1" t="s">
        <v>33</v>
      </c>
    </row>
    <row r="87" spans="1:8" x14ac:dyDescent="0.25">
      <c r="B87" s="1" t="s">
        <v>33</v>
      </c>
      <c r="H87" s="1" t="s">
        <v>33</v>
      </c>
    </row>
    <row r="88" spans="1:8" x14ac:dyDescent="0.25">
      <c r="B88" s="1" t="s">
        <v>33</v>
      </c>
      <c r="H88" s="1" t="s">
        <v>33</v>
      </c>
    </row>
    <row r="89" spans="1:8" x14ac:dyDescent="0.25">
      <c r="B89" s="1" t="s">
        <v>33</v>
      </c>
      <c r="H89" s="1" t="s">
        <v>33</v>
      </c>
    </row>
    <row r="90" spans="1:8" x14ac:dyDescent="0.25">
      <c r="B90" s="1" t="s">
        <v>33</v>
      </c>
      <c r="H90" s="1" t="s">
        <v>33</v>
      </c>
    </row>
    <row r="91" spans="1:8" x14ac:dyDescent="0.25">
      <c r="B91" s="1" t="s">
        <v>33</v>
      </c>
      <c r="H91" s="1" t="s">
        <v>33</v>
      </c>
    </row>
    <row r="92" spans="1:8" x14ac:dyDescent="0.25">
      <c r="B92" s="1" t="s">
        <v>33</v>
      </c>
      <c r="H92" s="1" t="s">
        <v>33</v>
      </c>
    </row>
    <row r="93" spans="1:8" x14ac:dyDescent="0.25">
      <c r="B93" s="1" t="s">
        <v>33</v>
      </c>
      <c r="H93" s="1" t="s">
        <v>33</v>
      </c>
    </row>
    <row r="94" spans="1:8" x14ac:dyDescent="0.25">
      <c r="B94" s="1" t="s">
        <v>33</v>
      </c>
      <c r="H94" s="1" t="s">
        <v>33</v>
      </c>
    </row>
    <row r="95" spans="1:8" x14ac:dyDescent="0.25">
      <c r="B95" s="1" t="s">
        <v>33</v>
      </c>
      <c r="H95" s="1" t="s">
        <v>33</v>
      </c>
    </row>
    <row r="96" spans="1:8" x14ac:dyDescent="0.25">
      <c r="B96" s="1" t="s">
        <v>33</v>
      </c>
      <c r="H96" s="1" t="s">
        <v>33</v>
      </c>
    </row>
    <row r="97" spans="2:8" x14ac:dyDescent="0.25">
      <c r="B97" s="1" t="s">
        <v>33</v>
      </c>
      <c r="H97" s="1" t="s">
        <v>33</v>
      </c>
    </row>
    <row r="98" spans="2:8" x14ac:dyDescent="0.25">
      <c r="B98" s="1" t="s">
        <v>33</v>
      </c>
      <c r="H98" s="1" t="s">
        <v>33</v>
      </c>
    </row>
    <row r="99" spans="2:8" x14ac:dyDescent="0.25">
      <c r="B99" s="1" t="s">
        <v>33</v>
      </c>
      <c r="H99" s="1" t="s">
        <v>33</v>
      </c>
    </row>
    <row r="100" spans="2:8" x14ac:dyDescent="0.25">
      <c r="B100" s="1" t="s">
        <v>33</v>
      </c>
      <c r="H100" s="1" t="s">
        <v>33</v>
      </c>
    </row>
    <row r="101" spans="2:8" x14ac:dyDescent="0.25">
      <c r="B101" s="1" t="s">
        <v>33</v>
      </c>
      <c r="H101" s="1" t="s">
        <v>33</v>
      </c>
    </row>
    <row r="102" spans="2:8" x14ac:dyDescent="0.25">
      <c r="B102" s="1" t="s">
        <v>33</v>
      </c>
      <c r="H102" s="1" t="s">
        <v>33</v>
      </c>
    </row>
    <row r="103" spans="2:8" x14ac:dyDescent="0.25">
      <c r="B103" s="1" t="s">
        <v>33</v>
      </c>
      <c r="H103" s="1" t="s">
        <v>33</v>
      </c>
    </row>
    <row r="104" spans="2:8" x14ac:dyDescent="0.25">
      <c r="B104" s="1" t="s">
        <v>33</v>
      </c>
      <c r="H104" s="1" t="s">
        <v>33</v>
      </c>
    </row>
    <row r="105" spans="2:8" x14ac:dyDescent="0.25">
      <c r="B105" s="1" t="s">
        <v>33</v>
      </c>
      <c r="H105" s="1" t="s">
        <v>33</v>
      </c>
    </row>
    <row r="106" spans="2:8" x14ac:dyDescent="0.25">
      <c r="B106" s="1" t="s">
        <v>33</v>
      </c>
      <c r="H106" s="1" t="s">
        <v>33</v>
      </c>
    </row>
    <row r="107" spans="2:8" x14ac:dyDescent="0.25">
      <c r="B107" s="1" t="s">
        <v>33</v>
      </c>
      <c r="H107" s="1" t="s">
        <v>33</v>
      </c>
    </row>
    <row r="108" spans="2:8" x14ac:dyDescent="0.25">
      <c r="B108" s="1" t="s">
        <v>33</v>
      </c>
      <c r="H108" s="1" t="s">
        <v>33</v>
      </c>
    </row>
    <row r="109" spans="2:8" x14ac:dyDescent="0.25">
      <c r="B109" s="1" t="s">
        <v>33</v>
      </c>
      <c r="H109" s="1" t="s">
        <v>33</v>
      </c>
    </row>
    <row r="110" spans="2:8" x14ac:dyDescent="0.25">
      <c r="B110" s="1" t="s">
        <v>33</v>
      </c>
      <c r="H110" s="1" t="s">
        <v>33</v>
      </c>
    </row>
    <row r="111" spans="2:8" x14ac:dyDescent="0.25">
      <c r="B111" s="1" t="s">
        <v>33</v>
      </c>
      <c r="H111" s="1" t="s">
        <v>33</v>
      </c>
    </row>
    <row r="112" spans="2:8" x14ac:dyDescent="0.25">
      <c r="B112" s="1" t="s">
        <v>33</v>
      </c>
      <c r="H112" s="1" t="s">
        <v>33</v>
      </c>
    </row>
    <row r="113" spans="2:8" x14ac:dyDescent="0.25">
      <c r="B113" s="1" t="s">
        <v>33</v>
      </c>
      <c r="H113" s="1" t="s">
        <v>33</v>
      </c>
    </row>
    <row r="114" spans="2:8" x14ac:dyDescent="0.25">
      <c r="B114" s="1" t="s">
        <v>33</v>
      </c>
      <c r="H114" s="1" t="s">
        <v>33</v>
      </c>
    </row>
    <row r="115" spans="2:8" x14ac:dyDescent="0.25">
      <c r="B115" s="1" t="s">
        <v>33</v>
      </c>
      <c r="H115" s="1" t="s">
        <v>33</v>
      </c>
    </row>
    <row r="116" spans="2:8" x14ac:dyDescent="0.25">
      <c r="B116" s="1" t="s">
        <v>33</v>
      </c>
      <c r="H116" s="1" t="s">
        <v>33</v>
      </c>
    </row>
    <row r="117" spans="2:8" x14ac:dyDescent="0.25">
      <c r="B117" s="1" t="s">
        <v>33</v>
      </c>
      <c r="H117" s="1" t="s">
        <v>33</v>
      </c>
    </row>
    <row r="118" spans="2:8" x14ac:dyDescent="0.25">
      <c r="B118" s="1" t="s">
        <v>33</v>
      </c>
      <c r="H118" s="1" t="s">
        <v>33</v>
      </c>
    </row>
    <row r="119" spans="2:8" x14ac:dyDescent="0.25">
      <c r="B119" s="1" t="s">
        <v>33</v>
      </c>
      <c r="H119" s="1" t="s">
        <v>33</v>
      </c>
    </row>
    <row r="120" spans="2:8" x14ac:dyDescent="0.25">
      <c r="B120" s="1" t="s">
        <v>33</v>
      </c>
      <c r="H120" s="1" t="s">
        <v>33</v>
      </c>
    </row>
    <row r="121" spans="2:8" x14ac:dyDescent="0.25">
      <c r="B121" s="1" t="s">
        <v>33</v>
      </c>
      <c r="H121" s="1" t="s">
        <v>33</v>
      </c>
    </row>
    <row r="122" spans="2:8" x14ac:dyDescent="0.25">
      <c r="B122" s="1" t="s">
        <v>33</v>
      </c>
      <c r="H122" s="1" t="s">
        <v>33</v>
      </c>
    </row>
    <row r="123" spans="2:8" x14ac:dyDescent="0.25">
      <c r="B123" s="1" t="s">
        <v>33</v>
      </c>
      <c r="H123" s="1" t="s">
        <v>33</v>
      </c>
    </row>
    <row r="124" spans="2:8" x14ac:dyDescent="0.25">
      <c r="B124" s="1" t="s">
        <v>33</v>
      </c>
      <c r="H124" s="1" t="s">
        <v>33</v>
      </c>
    </row>
    <row r="125" spans="2:8" x14ac:dyDescent="0.25">
      <c r="B125" s="1" t="s">
        <v>33</v>
      </c>
      <c r="H125" s="1" t="s">
        <v>33</v>
      </c>
    </row>
    <row r="126" spans="2:8" x14ac:dyDescent="0.25">
      <c r="B126" s="1" t="s">
        <v>33</v>
      </c>
      <c r="H126" s="1" t="s">
        <v>33</v>
      </c>
    </row>
    <row r="127" spans="2:8" x14ac:dyDescent="0.25">
      <c r="B127" s="1" t="s">
        <v>33</v>
      </c>
      <c r="H127" s="1" t="s">
        <v>33</v>
      </c>
    </row>
    <row r="128" spans="2:8" x14ac:dyDescent="0.25">
      <c r="B128" s="1" t="s">
        <v>33</v>
      </c>
      <c r="H128" s="1" t="s">
        <v>33</v>
      </c>
    </row>
    <row r="129" spans="2:8" x14ac:dyDescent="0.25">
      <c r="B129" s="1" t="s">
        <v>33</v>
      </c>
      <c r="H129" s="1" t="s">
        <v>33</v>
      </c>
    </row>
    <row r="130" spans="2:8" x14ac:dyDescent="0.25">
      <c r="B130" s="1" t="s">
        <v>33</v>
      </c>
      <c r="H130" s="1" t="s">
        <v>33</v>
      </c>
    </row>
    <row r="131" spans="2:8" x14ac:dyDescent="0.25">
      <c r="B131" s="1" t="s">
        <v>33</v>
      </c>
      <c r="H131" s="1" t="s">
        <v>33</v>
      </c>
    </row>
    <row r="132" spans="2:8" x14ac:dyDescent="0.25">
      <c r="B132" s="1" t="s">
        <v>33</v>
      </c>
      <c r="H132" s="1" t="s">
        <v>33</v>
      </c>
    </row>
    <row r="133" spans="2:8" x14ac:dyDescent="0.25">
      <c r="B133" s="1" t="s">
        <v>33</v>
      </c>
      <c r="H133" s="1" t="s">
        <v>33</v>
      </c>
    </row>
    <row r="134" spans="2:8" x14ac:dyDescent="0.25">
      <c r="B134" s="1" t="s">
        <v>33</v>
      </c>
      <c r="H134" s="1" t="s">
        <v>33</v>
      </c>
    </row>
    <row r="135" spans="2:8" x14ac:dyDescent="0.25">
      <c r="B135" s="1" t="s">
        <v>33</v>
      </c>
      <c r="H135" s="1" t="s">
        <v>33</v>
      </c>
    </row>
    <row r="136" spans="2:8" x14ac:dyDescent="0.25">
      <c r="B136" s="1" t="s">
        <v>33</v>
      </c>
      <c r="H136" s="1" t="s">
        <v>33</v>
      </c>
    </row>
    <row r="137" spans="2:8" x14ac:dyDescent="0.25">
      <c r="B137" s="1" t="s">
        <v>33</v>
      </c>
      <c r="H137" s="1" t="s">
        <v>33</v>
      </c>
    </row>
    <row r="138" spans="2:8" x14ac:dyDescent="0.25">
      <c r="B138" s="1" t="s">
        <v>33</v>
      </c>
      <c r="H138" s="1" t="s">
        <v>33</v>
      </c>
    </row>
    <row r="139" spans="2:8" x14ac:dyDescent="0.25">
      <c r="B139" s="1" t="s">
        <v>33</v>
      </c>
      <c r="H139" s="1" t="s">
        <v>33</v>
      </c>
    </row>
    <row r="140" spans="2:8" x14ac:dyDescent="0.25">
      <c r="B140" s="1" t="s">
        <v>33</v>
      </c>
      <c r="H140" s="1" t="s">
        <v>33</v>
      </c>
    </row>
    <row r="141" spans="2:8" x14ac:dyDescent="0.25">
      <c r="B141" s="1" t="s">
        <v>33</v>
      </c>
      <c r="H141" s="1" t="s">
        <v>33</v>
      </c>
    </row>
    <row r="142" spans="2:8" x14ac:dyDescent="0.25">
      <c r="B142" s="1" t="s">
        <v>33</v>
      </c>
      <c r="H142" s="1" t="s">
        <v>33</v>
      </c>
    </row>
    <row r="143" spans="2:8" x14ac:dyDescent="0.25">
      <c r="B143" s="1" t="s">
        <v>33</v>
      </c>
      <c r="H143" s="1" t="s">
        <v>33</v>
      </c>
    </row>
    <row r="144" spans="2:8" x14ac:dyDescent="0.25">
      <c r="B144" s="1" t="s">
        <v>33</v>
      </c>
      <c r="H144" s="1" t="s">
        <v>33</v>
      </c>
    </row>
    <row r="145" spans="2:8" x14ac:dyDescent="0.25">
      <c r="B145" s="1" t="s">
        <v>33</v>
      </c>
      <c r="H145" s="1" t="s">
        <v>33</v>
      </c>
    </row>
    <row r="146" spans="2:8" x14ac:dyDescent="0.25">
      <c r="B146" s="1" t="s">
        <v>33</v>
      </c>
      <c r="H146" s="1" t="s">
        <v>33</v>
      </c>
    </row>
    <row r="147" spans="2:8" x14ac:dyDescent="0.25">
      <c r="B147" s="1" t="s">
        <v>33</v>
      </c>
      <c r="H147" s="1" t="s">
        <v>33</v>
      </c>
    </row>
    <row r="148" spans="2:8" x14ac:dyDescent="0.25">
      <c r="B148" s="1" t="s">
        <v>33</v>
      </c>
      <c r="H148" s="1" t="s">
        <v>33</v>
      </c>
    </row>
    <row r="149" spans="2:8" x14ac:dyDescent="0.25">
      <c r="B149" s="1" t="s">
        <v>33</v>
      </c>
      <c r="H149" s="1" t="s">
        <v>33</v>
      </c>
    </row>
    <row r="150" spans="2:8" x14ac:dyDescent="0.25">
      <c r="B150" s="1" t="s">
        <v>33</v>
      </c>
      <c r="H150" s="1" t="s">
        <v>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Ayrıma Alanı</vt:lpstr>
      <vt:lpstr>Son Hali</vt:lpstr>
      <vt:lpstr>Çalışma Alanı 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 KÖMÜRCÜLER</dc:creator>
  <cp:lastModifiedBy>Arif KÖMÜRCÜLER</cp:lastModifiedBy>
  <dcterms:created xsi:type="dcterms:W3CDTF">2015-10-20T05:56:08Z</dcterms:created>
  <dcterms:modified xsi:type="dcterms:W3CDTF">2015-10-30T07:43:53Z</dcterms:modified>
</cp:coreProperties>
</file>